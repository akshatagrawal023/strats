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shatx.agrawal\Strategies\utils\"/>
    </mc:Choice>
  </mc:AlternateContent>
  <xr:revisionPtr revIDLastSave="0" documentId="8_{7F778EDB-4B2F-445F-A41E-65864AED5664}" xr6:coauthVersionLast="47" xr6:coauthVersionMax="47" xr10:uidLastSave="{00000000-0000-0000-0000-000000000000}"/>
  <bookViews>
    <workbookView xWindow="28680" yWindow="-120" windowWidth="29040" windowHeight="17520" xr2:uid="{178A017A-CFA6-47A3-B3EA-283B0625CA3F}"/>
  </bookViews>
  <sheets>
    <sheet name="Sheet1" sheetId="1" r:id="rId1"/>
    <sheet name="Open Assgn" sheetId="2" r:id="rId2"/>
  </sheets>
  <functionGroups builtInGroupCount="19"/>
  <definedNames>
    <definedName name="_xlnm._FilterDatabase" localSheetId="1" hidden="1">'Open Assgn'!$A$1:$O$72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" i="1" l="1"/>
  <c r="C86" i="1"/>
  <c r="C78" i="1"/>
  <c r="C70" i="1"/>
  <c r="C62" i="1"/>
  <c r="C19" i="1"/>
  <c r="C8" i="1"/>
  <c r="C74" i="1"/>
  <c r="C75" i="1"/>
  <c r="C76" i="1"/>
  <c r="C77" i="1"/>
  <c r="C79" i="1"/>
  <c r="C73" i="1"/>
  <c r="C68" i="1"/>
  <c r="C32" i="1" l="1"/>
  <c r="C58" i="1"/>
  <c r="C59" i="1"/>
  <c r="C60" i="1"/>
  <c r="C61" i="1"/>
  <c r="C63" i="1"/>
  <c r="C57" i="1"/>
  <c r="C90" i="1" l="1"/>
  <c r="C91" i="1"/>
  <c r="C92" i="1"/>
  <c r="C93" i="1"/>
  <c r="C95" i="1"/>
  <c r="C89" i="1"/>
  <c r="C82" i="1"/>
  <c r="C83" i="1"/>
  <c r="C84" i="1"/>
  <c r="C85" i="1"/>
  <c r="C87" i="1"/>
  <c r="C81" i="1"/>
  <c r="C30" i="1" l="1"/>
  <c r="C4" i="1"/>
  <c r="C3" i="1"/>
  <c r="C65" i="1" l="1"/>
  <c r="C27" i="1" s="1"/>
  <c r="C66" i="1"/>
  <c r="C28" i="1" s="1"/>
  <c r="C67" i="1"/>
  <c r="C29" i="1" s="1"/>
  <c r="C69" i="1"/>
  <c r="C31" i="1" s="1"/>
  <c r="C71" i="1"/>
  <c r="C33" i="1" s="1"/>
  <c r="C72" i="1" l="1"/>
  <c r="C20" i="1"/>
  <c r="C18" i="1"/>
  <c r="C17" i="1"/>
  <c r="C16" i="1"/>
  <c r="C15" i="1"/>
  <c r="C14" i="1"/>
  <c r="C9" i="1"/>
  <c r="C7" i="1"/>
  <c r="C6" i="1"/>
  <c r="C5" i="1"/>
  <c r="C88" i="1" l="1"/>
  <c r="C64" i="1"/>
  <c r="C80" i="1"/>
  <c r="C13" i="1"/>
  <c r="C56" i="1"/>
  <c r="C10" i="1" s="1"/>
  <c r="C2" i="1"/>
  <c r="C55" i="1" l="1"/>
  <c r="C21" i="1" s="1"/>
  <c r="C22" i="1" s="1"/>
  <c r="C11" i="1"/>
  <c r="C34" i="1"/>
  <c r="C24" i="1" l="1"/>
  <c r="C36" i="1" s="1"/>
</calcChain>
</file>

<file path=xl/sharedStrings.xml><?xml version="1.0" encoding="utf-8"?>
<sst xmlns="http://schemas.openxmlformats.org/spreadsheetml/2006/main" count="662" uniqueCount="156">
  <si>
    <t>EUR</t>
  </si>
  <si>
    <t>Total Fixed Physical Exposure</t>
  </si>
  <si>
    <t>Zinc Concentrates</t>
  </si>
  <si>
    <t>Gold Concentrates</t>
  </si>
  <si>
    <t>Zinc Oxide</t>
  </si>
  <si>
    <t>Silver Concentrates</t>
  </si>
  <si>
    <t>Exclusions : Physical Exposure</t>
  </si>
  <si>
    <t>Net Fixed Exposure ( A )</t>
  </si>
  <si>
    <t>Total FX Hedges ( Excl FX Averages Pricing)</t>
  </si>
  <si>
    <t>Net FX Hedges ( Excl FX Averages Pricing) (B)</t>
  </si>
  <si>
    <t>Difference (A-B)</t>
  </si>
  <si>
    <t>Fixed Amount Vs Total FX Hedge</t>
  </si>
  <si>
    <t>Total Difference</t>
  </si>
  <si>
    <t>CHECK</t>
  </si>
  <si>
    <t>Exclusion in FX</t>
  </si>
  <si>
    <t>Premium Hedges (Metals Price unfixed)</t>
  </si>
  <si>
    <t>FX hedged, metal pending to be fixed</t>
  </si>
  <si>
    <t>Future QP</t>
  </si>
  <si>
    <t>Counterparty Name</t>
  </si>
  <si>
    <t>Product</t>
  </si>
  <si>
    <t>Direction</t>
  </si>
  <si>
    <t>Settlement Ccy</t>
  </si>
  <si>
    <t>FXIndex/Rate</t>
  </si>
  <si>
    <t>Physical Pricing Date</t>
  </si>
  <si>
    <t>Estimated (TC)</t>
  </si>
  <si>
    <t>Invoiced (CG)(TC)</t>
  </si>
  <si>
    <t>Cash CG (TC)</t>
  </si>
  <si>
    <t>ApprovedEst - Cash CG (TC)</t>
  </si>
  <si>
    <t>Hedged_Amount</t>
  </si>
  <si>
    <t>NotUSD</t>
  </si>
  <si>
    <t>Diff</t>
  </si>
  <si>
    <t>Comments</t>
  </si>
  <si>
    <t>S</t>
  </si>
  <si>
    <t>BFIX1300</t>
  </si>
  <si>
    <t>01/03/24-28/03/24</t>
  </si>
  <si>
    <t>P</t>
  </si>
  <si>
    <t>01/07/24-31/07/24</t>
  </si>
  <si>
    <t>700016.1.1</t>
  </si>
  <si>
    <t>Umicore S.A.</t>
  </si>
  <si>
    <t>WMR1300</t>
  </si>
  <si>
    <t>Oreland, S.L.</t>
  </si>
  <si>
    <t>Pontenossa S.P.A</t>
  </si>
  <si>
    <t>EverZinc Belgium (Angleur)</t>
  </si>
  <si>
    <t>698664.3.3</t>
  </si>
  <si>
    <t>698664.3.4</t>
  </si>
  <si>
    <t>BEFESA ZINC COMERCIAL SOCIEDAD ANONIMA</t>
  </si>
  <si>
    <t>USD Differential</t>
  </si>
  <si>
    <t>Non Cargo Hedges</t>
  </si>
  <si>
    <t>Exclusion in Hedges</t>
  </si>
  <si>
    <t>Exclusions : FX Hedges (Non C01 Hedges)</t>
  </si>
  <si>
    <t>FX Hedged</t>
  </si>
  <si>
    <t>698664.5.2</t>
  </si>
  <si>
    <t>Sij Acroni D.O.O.</t>
  </si>
  <si>
    <t>Ferro Alloys</t>
  </si>
  <si>
    <t>MTLE</t>
  </si>
  <si>
    <t>06/02/25-06/02/25</t>
  </si>
  <si>
    <t>03/03/25-31/03/25</t>
  </si>
  <si>
    <t>Assignment</t>
  </si>
  <si>
    <t>709971.2.2</t>
  </si>
  <si>
    <t>709971.2.3</t>
  </si>
  <si>
    <t>01/04/25-30/04/25</t>
  </si>
  <si>
    <t>Nyrstar Sales &amp; Marketing SA.(Do not use)</t>
  </si>
  <si>
    <t>709971.3.2</t>
  </si>
  <si>
    <t>709971.3.3</t>
  </si>
  <si>
    <t>710163.3.2</t>
  </si>
  <si>
    <t>710163.3.3</t>
  </si>
  <si>
    <t>Concs Exposure report</t>
  </si>
  <si>
    <t>718859.1.1</t>
  </si>
  <si>
    <t>Logs Logistics Ab</t>
  </si>
  <si>
    <t>Lithium Hydroxide</t>
  </si>
  <si>
    <t>To Be Mutually Agreed</t>
  </si>
  <si>
    <t>-</t>
  </si>
  <si>
    <t>718859.1.2</t>
  </si>
  <si>
    <t>01/05/25-30/05/25</t>
  </si>
  <si>
    <t>710163.4.1</t>
  </si>
  <si>
    <t>02/06/25-30/06/25</t>
  </si>
  <si>
    <t>686561.13.1</t>
  </si>
  <si>
    <t>01/09/25-30/09/25</t>
  </si>
  <si>
    <t>B2B additional</t>
  </si>
  <si>
    <t>Ignore diff</t>
  </si>
  <si>
    <t>01/07/25-31/07/25</t>
  </si>
  <si>
    <t>703356.6.2</t>
  </si>
  <si>
    <t>710163.6.2</t>
  </si>
  <si>
    <t>709971.6.2</t>
  </si>
  <si>
    <t>710163.6.3</t>
  </si>
  <si>
    <t>709971.6.3</t>
  </si>
  <si>
    <t>703356.6.1</t>
  </si>
  <si>
    <t>704872.6.1</t>
  </si>
  <si>
    <t>Nyrstar Sales &amp; Marketing AG</t>
  </si>
  <si>
    <t>Ignore Diff</t>
  </si>
  <si>
    <t>686561.12.1</t>
  </si>
  <si>
    <t>01/08/25-29/08/25</t>
  </si>
  <si>
    <t>699416.22.2</t>
  </si>
  <si>
    <t>703368.7.2</t>
  </si>
  <si>
    <t>703356.7.2</t>
  </si>
  <si>
    <t>703368.7.1</t>
  </si>
  <si>
    <t>703356.7.1</t>
  </si>
  <si>
    <t>722900.1.2</t>
  </si>
  <si>
    <t>722900.1.3</t>
  </si>
  <si>
    <t>704195.7.5</t>
  </si>
  <si>
    <t>704062.7.5</t>
  </si>
  <si>
    <t>JEAN GOLDSCHMIDT INTERNATIONAL S A</t>
  </si>
  <si>
    <t>ECB</t>
  </si>
  <si>
    <t>704195.7.4</t>
  </si>
  <si>
    <t>704062.7.4</t>
  </si>
  <si>
    <t>704195.7.3</t>
  </si>
  <si>
    <t>704062.7.3</t>
  </si>
  <si>
    <t>704062.7.2</t>
  </si>
  <si>
    <t>704195.7.2</t>
  </si>
  <si>
    <t>703368.8.2</t>
  </si>
  <si>
    <t>703356.8.2</t>
  </si>
  <si>
    <t>703368.8.3</t>
  </si>
  <si>
    <t>703356.8.3</t>
  </si>
  <si>
    <t>704195.8.3</t>
  </si>
  <si>
    <t>704062.8.3</t>
  </si>
  <si>
    <t>704195.8.5</t>
  </si>
  <si>
    <t>704062.8.5</t>
  </si>
  <si>
    <t>704195.8.4</t>
  </si>
  <si>
    <t>704062.8.4</t>
  </si>
  <si>
    <t>704872.8.1</t>
  </si>
  <si>
    <t>704687.8.1</t>
  </si>
  <si>
    <t>704195.8.2</t>
  </si>
  <si>
    <t>704062.8.2</t>
  </si>
  <si>
    <t>704872.7.1</t>
  </si>
  <si>
    <t>704687.7.1</t>
  </si>
  <si>
    <t>646651.37.1</t>
  </si>
  <si>
    <t>649633.33.1</t>
  </si>
  <si>
    <t>L. Bruggemann Gmbh And Co.</t>
  </si>
  <si>
    <t>699409.22.3</t>
  </si>
  <si>
    <t>699416.22.4</t>
  </si>
  <si>
    <t>649633.34.1</t>
  </si>
  <si>
    <t>To be rolled (710163.3.2 B2B)</t>
  </si>
  <si>
    <t>To be rolled (709971.3.2 B2B)</t>
  </si>
  <si>
    <t>Settlement needs to be checked with the Ops</t>
  </si>
  <si>
    <t>To be rolled (710163.3.3 B2B)</t>
  </si>
  <si>
    <t>Roll if it doesn't come down to negligible</t>
  </si>
  <si>
    <t>To be rolled (709971.3.3 B2B)</t>
  </si>
  <si>
    <t>To be rolled</t>
  </si>
  <si>
    <t>Jean Goldsmidth service receipt  00034LRT</t>
  </si>
  <si>
    <t>710810.8.1</t>
  </si>
  <si>
    <t>699416.23.2</t>
  </si>
  <si>
    <t>699416.23.1</t>
  </si>
  <si>
    <t>699416.23.3</t>
  </si>
  <si>
    <t>699416.23.5</t>
  </si>
  <si>
    <t>699416.23.4</t>
  </si>
  <si>
    <t>Antimony Concentrates</t>
  </si>
  <si>
    <t>718033.1.1</t>
  </si>
  <si>
    <t>Campine NV</t>
  </si>
  <si>
    <t>BFIX1200</t>
  </si>
  <si>
    <t>686561.15.1</t>
  </si>
  <si>
    <t>02/01/26-30/01/26</t>
  </si>
  <si>
    <t>699409.23.8</t>
  </si>
  <si>
    <t>699409.23.7</t>
  </si>
  <si>
    <t>699409.23.9</t>
  </si>
  <si>
    <t>699409.23.11</t>
  </si>
  <si>
    <t>699409.23.10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</si>
</sst>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#,##0.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38">
    <xf numFmtId="0" fontId="0" fillId="0" borderId="0" xfId="0"/>
    <xf numFmtId="0" fontId="2" fillId="0" borderId="0" xfId="0" applyFont="1"/>
    <xf numFmtId="164" fontId="3" fillId="2" borderId="1" xfId="1" applyNumberFormat="1" applyFont="1" applyFill="1" applyBorder="1" applyAlignment="1">
      <alignment horizontal="center"/>
    </xf>
    <xf numFmtId="0" fontId="3" fillId="0" borderId="1" xfId="0" applyFont="1" applyBorder="1"/>
    <xf numFmtId="164" fontId="2" fillId="0" borderId="1" xfId="1" applyNumberFormat="1" applyFont="1" applyFill="1" applyBorder="1" applyAlignment="1">
      <alignment horizontal="center"/>
    </xf>
    <xf numFmtId="0" fontId="2" fillId="3" borderId="1" xfId="0" applyFont="1" applyFill="1" applyBorder="1"/>
    <xf numFmtId="0" fontId="2" fillId="0" borderId="1" xfId="0" applyFont="1" applyFill="1" applyBorder="1"/>
    <xf numFmtId="164" fontId="2" fillId="0" borderId="0" xfId="1" applyNumberFormat="1" applyFont="1"/>
    <xf numFmtId="0" fontId="3" fillId="2" borderId="1" xfId="0" applyFont="1" applyFill="1" applyBorder="1"/>
    <xf numFmtId="164" fontId="3" fillId="2" borderId="1" xfId="1" applyNumberFormat="1" applyFont="1" applyFill="1" applyBorder="1"/>
    <xf numFmtId="0" fontId="2" fillId="2" borderId="1" xfId="0" applyFont="1" applyFill="1" applyBorder="1"/>
    <xf numFmtId="0" fontId="2" fillId="5" borderId="1" xfId="0" applyFont="1" applyFill="1" applyBorder="1"/>
    <xf numFmtId="164" fontId="2" fillId="5" borderId="1" xfId="1" applyNumberFormat="1" applyFont="1" applyFill="1" applyBorder="1"/>
    <xf numFmtId="0" fontId="2" fillId="2" borderId="0" xfId="0" applyFont="1" applyFill="1"/>
    <xf numFmtId="164" fontId="2" fillId="2" borderId="1" xfId="1" applyNumberFormat="1" applyFont="1" applyFill="1" applyBorder="1"/>
    <xf numFmtId="0" fontId="2" fillId="4" borderId="1" xfId="0" applyFont="1" applyFill="1" applyBorder="1"/>
    <xf numFmtId="164" fontId="2" fillId="4" borderId="1" xfId="1" applyNumberFormat="1" applyFont="1" applyFill="1" applyBorder="1"/>
    <xf numFmtId="0" fontId="2" fillId="6" borderId="1" xfId="0" applyFont="1" applyFill="1" applyBorder="1"/>
    <xf numFmtId="164" fontId="2" fillId="6" borderId="1" xfId="1" applyNumberFormat="1" applyFont="1" applyFill="1" applyBorder="1"/>
    <xf numFmtId="0" fontId="2" fillId="4" borderId="1" xfId="0" quotePrefix="1" applyFont="1" applyFill="1" applyBorder="1"/>
    <xf numFmtId="0" fontId="0" fillId="0" borderId="0" xfId="0" applyBorder="1"/>
    <xf numFmtId="164" fontId="0" fillId="0" borderId="0" xfId="1" applyNumberFormat="1" applyFont="1"/>
    <xf numFmtId="0" fontId="0" fillId="0" borderId="0" xfId="0" applyFill="1"/>
    <xf numFmtId="0" fontId="0" fillId="0" borderId="0" xfId="0" applyAlignment="1">
      <alignment vertical="center"/>
    </xf>
    <xf numFmtId="4" fontId="0" fillId="0" borderId="0" xfId="0" applyNumberFormat="1"/>
    <xf numFmtId="165" fontId="0" fillId="0" borderId="0" xfId="0" applyNumberFormat="1"/>
    <xf numFmtId="164" fontId="2" fillId="3" borderId="1" xfId="1" applyNumberFormat="1" applyFont="1" applyFill="1" applyBorder="1" applyAlignment="1">
      <alignment horizontal="right"/>
    </xf>
    <xf numFmtId="164" fontId="2" fillId="0" borderId="1" xfId="1" applyNumberFormat="1" applyFont="1" applyBorder="1" applyAlignment="1">
      <alignment horizontal="right"/>
    </xf>
    <xf numFmtId="164" fontId="2" fillId="0" borderId="0" xfId="1" applyNumberFormat="1" applyFont="1" applyAlignment="1">
      <alignment horizontal="right"/>
    </xf>
    <xf numFmtId="164" fontId="2" fillId="0" borderId="1" xfId="1" applyNumberFormat="1" applyFont="1" applyFill="1" applyBorder="1" applyAlignment="1">
      <alignment horizontal="right"/>
    </xf>
    <xf numFmtId="164" fontId="3" fillId="0" borderId="1" xfId="1" applyNumberFormat="1" applyFont="1" applyFill="1" applyBorder="1" applyAlignment="1">
      <alignment horizontal="right"/>
    </xf>
    <xf numFmtId="164" fontId="2" fillId="0" borderId="1" xfId="1" applyNumberFormat="1" applyFont="1" applyFill="1" applyBorder="1" applyAlignment="1">
      <alignment horizontal="center" vertical="top"/>
    </xf>
    <xf numFmtId="0" fontId="3" fillId="7" borderId="0" xfId="0" applyFont="1" applyFill="1"/>
    <xf numFmtId="0" fontId="0" fillId="4" borderId="0" xfId="0" applyFill="1"/>
    <xf numFmtId="43" fontId="0" fillId="0" borderId="0" xfId="1" applyFont="1"/>
    <xf numFmtId="164" fontId="3" fillId="4" borderId="2" xfId="1" applyNumberFormat="1" applyFont="1" applyFill="1" applyBorder="1" applyAlignment="1">
      <alignment horizontal="center"/>
    </xf>
    <xf numFmtId="164" fontId="3" fillId="4" borderId="3" xfId="1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 xr:uid="{5513D583-89F7-4FA9-9980-BEF6626B05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580159</xdr:colOff>
      <xdr:row>8</xdr:row>
      <xdr:rowOff>69272</xdr:rowOff>
    </xdr:from>
    <xdr:to>
      <xdr:col>22</xdr:col>
      <xdr:colOff>251114</xdr:colOff>
      <xdr:row>14</xdr:row>
      <xdr:rowOff>129886</xdr:rowOff>
    </xdr:to>
    <xdr:sp macro="[0]!SendRangeAsEmailSimple" textlink="">
      <xdr:nvSpPr>
        <xdr:cNvPr id="2" name="Oval 1">
          <a:extLst>
            <a:ext uri="{FF2B5EF4-FFF2-40B4-BE49-F238E27FC236}">
              <a16:creationId xmlns:a16="http://schemas.microsoft.com/office/drawing/2014/main" id="{FA4AAE6C-DE9B-E1E9-8FC4-A05EC7D6B978}"/>
            </a:ext>
          </a:extLst>
        </xdr:cNvPr>
        <xdr:cNvSpPr/>
      </xdr:nvSpPr>
      <xdr:spPr>
        <a:xfrm>
          <a:off x="17023773" y="1402772"/>
          <a:ext cx="1489364" cy="1203614"/>
        </a:xfrm>
        <a:prstGeom prst="ellipse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E66-8319-42EA-8696-37A06CC3725A}">
  <sheetPr codeName="Sheet1"/>
  <dimension ref="B1:F100"/>
  <sheetViews>
    <sheetView tabSelected="1" zoomScaleNormal="100" workbookViewId="0">
      <selection activeCell="M39" sqref="M39"/>
    </sheetView>
  </sheetViews>
  <sheetFormatPr defaultRowHeight="15" outlineLevelRow="2" x14ac:dyDescent="0.25"/>
  <cols>
    <col min="2" max="2" width="57.28515625" customWidth="1"/>
    <col min="3" max="3" width="15.5703125" style="21" bestFit="1" customWidth="1"/>
    <col min="4" max="4" width="16" customWidth="1"/>
    <col min="5" max="5" width="11.28515625" bestFit="1" customWidth="1"/>
    <col min="6" max="6" width="10.28515625" bestFit="1" customWidth="1"/>
    <col min="8" max="9" width="16.7109375" customWidth="1"/>
    <col min="10" max="10" width="11.85546875" bestFit="1" customWidth="1"/>
  </cols>
  <sheetData>
    <row r="1" spans="2:3" x14ac:dyDescent="0.25">
      <c r="B1" s="32" t="s">
        <v>66</v>
      </c>
      <c r="C1" s="2" t="s">
        <v>0</v>
      </c>
    </row>
    <row r="2" spans="2:3" x14ac:dyDescent="0.25">
      <c r="B2" s="3" t="s">
        <v>1</v>
      </c>
      <c r="C2" s="31">
        <f ca="1">SUM(C3:C9)</f>
        <v>-76673.319807590917</v>
      </c>
    </row>
    <row r="3" spans="2:3" outlineLevel="2" x14ac:dyDescent="0.25">
      <c r="B3" s="5" t="s">
        <v>69</v>
      </c>
      <c r="C3" s="26">
        <f ca="1">SUMIF('Open Assgn'!C:I,Sheet1!B3,'Open Assgn'!H:H)</f>
        <v>-471680.15399999998</v>
      </c>
    </row>
    <row r="4" spans="2:3" outlineLevel="2" x14ac:dyDescent="0.25">
      <c r="B4" s="5" t="s">
        <v>53</v>
      </c>
      <c r="C4" s="26">
        <f ca="1">SUMIF('Open Assgn'!C:I,Sheet1!B4,'Open Assgn'!H:H)</f>
        <v>260767.30664996</v>
      </c>
    </row>
    <row r="5" spans="2:3" outlineLevel="2" x14ac:dyDescent="0.25">
      <c r="B5" s="5" t="s">
        <v>2</v>
      </c>
      <c r="C5" s="26">
        <f ca="1">SUMIF('Open Assgn'!C:I,Sheet1!B5,'Open Assgn'!H:H)</f>
        <v>-1221429.0222765002</v>
      </c>
    </row>
    <row r="6" spans="2:3" outlineLevel="2" x14ac:dyDescent="0.25">
      <c r="B6" s="5" t="s">
        <v>3</v>
      </c>
      <c r="C6" s="26">
        <f ca="1">SUMIF('Open Assgn'!C:I,Sheet1!B6,'Open Assgn'!H:H)</f>
        <v>593815.06718372996</v>
      </c>
    </row>
    <row r="7" spans="2:3" outlineLevel="2" x14ac:dyDescent="0.25">
      <c r="B7" s="5" t="s">
        <v>4</v>
      </c>
      <c r="C7" s="26">
        <f ca="1">SUMIF('Open Assgn'!C:I,Sheet1!B7,'Open Assgn'!H:H)</f>
        <v>-2099147.2901596203</v>
      </c>
    </row>
    <row r="8" spans="2:3" outlineLevel="2" x14ac:dyDescent="0.25">
      <c r="B8" s="5" t="s">
        <v>5</v>
      </c>
      <c r="C8" s="26">
        <f ca="1">SUMIF('Open Assgn'!C:I,Sheet1!B8,'Open Assgn'!H:H)</f>
        <v>2363028.1600558399</v>
      </c>
    </row>
    <row r="9" spans="2:3" outlineLevel="2" x14ac:dyDescent="0.25">
      <c r="B9" s="5" t="s">
        <v>145</v>
      </c>
      <c r="C9" s="26">
        <f ca="1">SUMIF('Open Assgn'!C:I,Sheet1!B9,'Open Assgn'!H:H)</f>
        <v>497972.612739</v>
      </c>
    </row>
    <row r="10" spans="2:3" x14ac:dyDescent="0.25">
      <c r="B10" s="6" t="s">
        <v>6</v>
      </c>
      <c r="C10" s="27">
        <f>C56</f>
        <v>1447904.85742595</v>
      </c>
    </row>
    <row r="11" spans="2:3" x14ac:dyDescent="0.25">
      <c r="B11" s="5" t="s">
        <v>7</v>
      </c>
      <c r="C11" s="26">
        <f ca="1">SUM(C3:C9)-C10</f>
        <v>-1524578.1772335409</v>
      </c>
    </row>
    <row r="12" spans="2:3" x14ac:dyDescent="0.25">
      <c r="B12" s="1"/>
      <c r="C12" s="28"/>
    </row>
    <row r="13" spans="2:3" x14ac:dyDescent="0.25">
      <c r="B13" s="3" t="s">
        <v>8</v>
      </c>
      <c r="C13" s="29">
        <f ca="1">SUM(C14:C20)</f>
        <v>1601743.3547000019</v>
      </c>
    </row>
    <row r="14" spans="2:3" outlineLevel="1" x14ac:dyDescent="0.25">
      <c r="B14" s="5" t="s">
        <v>69</v>
      </c>
      <c r="C14" s="26">
        <f ca="1">SUMIF('Open Assgn'!C:L,Sheet1!B14,'Open Assgn'!L:L)</f>
        <v>422304.5</v>
      </c>
    </row>
    <row r="15" spans="2:3" outlineLevel="1" x14ac:dyDescent="0.25">
      <c r="B15" s="5" t="s">
        <v>53</v>
      </c>
      <c r="C15" s="26">
        <f ca="1">SUMIF('Open Assgn'!C:L,Sheet1!B15,'Open Assgn'!L:L)</f>
        <v>-272181.78999999998</v>
      </c>
    </row>
    <row r="16" spans="2:3" outlineLevel="1" x14ac:dyDescent="0.25">
      <c r="B16" s="5" t="s">
        <v>2</v>
      </c>
      <c r="C16" s="26">
        <f ca="1">SUMIF('Open Assgn'!C:L,Sheet1!B16,'Open Assgn'!L:L)</f>
        <v>1373832.56</v>
      </c>
    </row>
    <row r="17" spans="2:6" outlineLevel="1" x14ac:dyDescent="0.25">
      <c r="B17" s="5" t="s">
        <v>3</v>
      </c>
      <c r="C17" s="26">
        <f ca="1">SUMIF('Open Assgn'!C:L,Sheet1!B17,'Open Assgn'!L:L)</f>
        <v>-593815.07039999973</v>
      </c>
    </row>
    <row r="18" spans="2:6" outlineLevel="1" x14ac:dyDescent="0.25">
      <c r="B18" s="5" t="s">
        <v>4</v>
      </c>
      <c r="C18" s="26">
        <f ca="1">SUMIF('Open Assgn'!C:L,Sheet1!B18,'Open Assgn'!L:L)</f>
        <v>2133459.2900000014</v>
      </c>
    </row>
    <row r="19" spans="2:6" outlineLevel="1" x14ac:dyDescent="0.25">
      <c r="B19" s="5" t="s">
        <v>5</v>
      </c>
      <c r="C19" s="26">
        <f ca="1">SUMIF('Open Assgn'!C:L,Sheet1!B19,'Open Assgn'!L:L)</f>
        <v>-1461856.1348999999</v>
      </c>
    </row>
    <row r="20" spans="2:6" outlineLevel="1" x14ac:dyDescent="0.25">
      <c r="B20" s="5" t="s">
        <v>145</v>
      </c>
      <c r="C20" s="26">
        <f ca="1">SUMIF('Open Assgn'!C:L,Sheet1!B20,'Open Assgn'!L:L)</f>
        <v>0</v>
      </c>
    </row>
    <row r="21" spans="2:6" x14ac:dyDescent="0.25">
      <c r="B21" s="6" t="s">
        <v>49</v>
      </c>
      <c r="C21" s="29">
        <f>C55</f>
        <v>-19922.184660030569</v>
      </c>
    </row>
    <row r="22" spans="2:6" x14ac:dyDescent="0.25">
      <c r="B22" s="5" t="s">
        <v>9</v>
      </c>
      <c r="C22" s="26">
        <f ca="1">SUM(C14:C20)-C21</f>
        <v>1621665.5393600324</v>
      </c>
    </row>
    <row r="23" spans="2:6" x14ac:dyDescent="0.25">
      <c r="B23" s="3"/>
      <c r="C23" s="30"/>
    </row>
    <row r="24" spans="2:6" x14ac:dyDescent="0.25">
      <c r="B24" s="8" t="s">
        <v>10</v>
      </c>
      <c r="C24" s="9">
        <f ca="1">C11+C22</f>
        <v>97087.362126491498</v>
      </c>
    </row>
    <row r="25" spans="2:6" x14ac:dyDescent="0.25">
      <c r="B25" s="1"/>
      <c r="C25" s="7"/>
    </row>
    <row r="26" spans="2:6" x14ac:dyDescent="0.25">
      <c r="B26" s="35" t="s">
        <v>11</v>
      </c>
      <c r="C26" s="36"/>
    </row>
    <row r="27" spans="2:6" x14ac:dyDescent="0.25">
      <c r="B27" s="3" t="s">
        <v>69</v>
      </c>
      <c r="C27" s="4">
        <f ca="1">SUMIF('Open Assgn'!C:M,Sheet1!B27,'Open Assgn'!N:N)-C57-C65-C73-C81-C89</f>
        <v>0</v>
      </c>
    </row>
    <row r="28" spans="2:6" x14ac:dyDescent="0.25">
      <c r="B28" s="3" t="s">
        <v>53</v>
      </c>
      <c r="C28" s="4">
        <f ca="1">SUMIF('Open Assgn'!C:M,Sheet1!B28,'Open Assgn'!N:N)-C58-C66-C74-C82-C90</f>
        <v>-11414.48335003998</v>
      </c>
      <c r="F28" s="25"/>
    </row>
    <row r="29" spans="2:6" x14ac:dyDescent="0.25">
      <c r="B29" s="3" t="s">
        <v>2</v>
      </c>
      <c r="C29" s="4">
        <f ca="1">SUMIF('Open Assgn'!C:M,Sheet1!B29,'Open Assgn'!N:N)-C59-C67-C75-C83-C91</f>
        <v>103643.32199954023</v>
      </c>
    </row>
    <row r="30" spans="2:6" x14ac:dyDescent="0.25">
      <c r="B30" s="3" t="s">
        <v>3</v>
      </c>
      <c r="C30" s="4">
        <f ca="1">SUMIF('Open Assgn'!C:M,Sheet1!B30,'Open Assgn'!N:N)-C60-C68-C76-C84-C92</f>
        <v>-3.216269775293767E-3</v>
      </c>
    </row>
    <row r="31" spans="2:6" x14ac:dyDescent="0.25">
      <c r="B31" s="3" t="s">
        <v>4</v>
      </c>
      <c r="C31" s="4">
        <f ca="1">SUMIF('Open Assgn'!C:M,Sheet1!B31,'Open Assgn'!N:N)-C61-C69-C77-C85-C93</f>
        <v>4858.5305004116199</v>
      </c>
      <c r="F31" s="24"/>
    </row>
    <row r="32" spans="2:6" x14ac:dyDescent="0.25">
      <c r="B32" s="3" t="s">
        <v>5</v>
      </c>
      <c r="C32" s="4">
        <f ca="1">SUMIF('Open Assgn'!C:M,Sheet1!B32,'Open Assgn'!N:N)-C62-C70-C78-C86-C94</f>
        <v>-3.8071500603109598E-3</v>
      </c>
    </row>
    <row r="33" spans="2:3" x14ac:dyDescent="0.25">
      <c r="B33" s="3" t="s">
        <v>145</v>
      </c>
      <c r="C33" s="4">
        <f ca="1">SUMIF('Open Assgn'!C:M,Sheet1!B33,'Open Assgn'!N:N)-C63-C71-C79-C87-C95</f>
        <v>0</v>
      </c>
    </row>
    <row r="34" spans="2:3" x14ac:dyDescent="0.25">
      <c r="B34" s="10" t="s">
        <v>12</v>
      </c>
      <c r="C34" s="9">
        <f ca="1">SUM(C27:C33)</f>
        <v>97087.362126492037</v>
      </c>
    </row>
    <row r="35" spans="2:3" x14ac:dyDescent="0.25">
      <c r="B35" s="1"/>
      <c r="C35" s="7"/>
    </row>
    <row r="36" spans="2:3" x14ac:dyDescent="0.25">
      <c r="B36" s="11" t="s">
        <v>13</v>
      </c>
      <c r="C36" s="12">
        <f ca="1">C24-C34</f>
        <v>-5.3842086344957352E-10</v>
      </c>
    </row>
    <row r="37" spans="2:3" x14ac:dyDescent="0.25">
      <c r="B37" s="1"/>
      <c r="C37" s="7"/>
    </row>
    <row r="38" spans="2:3" x14ac:dyDescent="0.25">
      <c r="B38" s="13" t="s">
        <v>14</v>
      </c>
      <c r="C38" s="14"/>
    </row>
    <row r="39" spans="2:3" x14ac:dyDescent="0.25">
      <c r="B39" s="15" t="s">
        <v>15</v>
      </c>
      <c r="C39" s="16"/>
    </row>
    <row r="40" spans="2:3" outlineLevel="1" x14ac:dyDescent="0.25">
      <c r="B40" s="17" t="s">
        <v>69</v>
      </c>
      <c r="C40" s="18"/>
    </row>
    <row r="41" spans="2:3" outlineLevel="1" x14ac:dyDescent="0.25">
      <c r="B41" s="17" t="s">
        <v>53</v>
      </c>
      <c r="C41" s="18"/>
    </row>
    <row r="42" spans="2:3" outlineLevel="1" x14ac:dyDescent="0.25">
      <c r="B42" s="17" t="s">
        <v>2</v>
      </c>
      <c r="C42" s="18"/>
    </row>
    <row r="43" spans="2:3" outlineLevel="1" x14ac:dyDescent="0.25">
      <c r="B43" s="17" t="s">
        <v>3</v>
      </c>
      <c r="C43" s="18"/>
    </row>
    <row r="44" spans="2:3" outlineLevel="1" x14ac:dyDescent="0.25">
      <c r="B44" s="17" t="s">
        <v>4</v>
      </c>
      <c r="C44" s="18"/>
    </row>
    <row r="45" spans="2:3" outlineLevel="1" x14ac:dyDescent="0.25">
      <c r="B45" s="17" t="s">
        <v>5</v>
      </c>
      <c r="C45" s="18"/>
    </row>
    <row r="46" spans="2:3" outlineLevel="1" x14ac:dyDescent="0.25">
      <c r="B46" s="17" t="s">
        <v>145</v>
      </c>
      <c r="C46" s="18"/>
    </row>
    <row r="47" spans="2:3" x14ac:dyDescent="0.25">
      <c r="B47" s="19" t="s">
        <v>16</v>
      </c>
      <c r="C47" s="16"/>
    </row>
    <row r="48" spans="2:3" outlineLevel="2" x14ac:dyDescent="0.25">
      <c r="B48" s="17" t="s">
        <v>69</v>
      </c>
      <c r="C48" s="18"/>
    </row>
    <row r="49" spans="2:3" outlineLevel="2" x14ac:dyDescent="0.25">
      <c r="B49" s="17" t="s">
        <v>53</v>
      </c>
      <c r="C49" s="18"/>
    </row>
    <row r="50" spans="2:3" outlineLevel="2" x14ac:dyDescent="0.25">
      <c r="B50" s="17" t="s">
        <v>2</v>
      </c>
      <c r="C50" s="18"/>
    </row>
    <row r="51" spans="2:3" outlineLevel="2" x14ac:dyDescent="0.25">
      <c r="B51" s="17" t="s">
        <v>3</v>
      </c>
      <c r="C51" s="18"/>
    </row>
    <row r="52" spans="2:3" outlineLevel="2" x14ac:dyDescent="0.25">
      <c r="B52" s="17" t="s">
        <v>4</v>
      </c>
      <c r="C52" s="18"/>
    </row>
    <row r="53" spans="2:3" s="20" customFormat="1" outlineLevel="2" x14ac:dyDescent="0.25">
      <c r="B53" s="17" t="s">
        <v>5</v>
      </c>
      <c r="C53" s="18"/>
    </row>
    <row r="54" spans="2:3" s="20" customFormat="1" outlineLevel="2" x14ac:dyDescent="0.25">
      <c r="B54" s="17" t="s">
        <v>145</v>
      </c>
      <c r="C54" s="18"/>
    </row>
    <row r="55" spans="2:3" x14ac:dyDescent="0.25">
      <c r="B55" s="13" t="s">
        <v>48</v>
      </c>
      <c r="C55" s="14">
        <f>C64+C72+C80+C88</f>
        <v>-19922.184660030569</v>
      </c>
    </row>
    <row r="56" spans="2:3" x14ac:dyDescent="0.25">
      <c r="B56" t="s">
        <v>17</v>
      </c>
      <c r="C56" s="16">
        <f>SUM(C57:C63)</f>
        <v>1447904.85742595</v>
      </c>
    </row>
    <row r="57" spans="2:3" outlineLevel="1" x14ac:dyDescent="0.25">
      <c r="B57" s="17" t="s">
        <v>69</v>
      </c>
      <c r="C57" s="18">
        <f>SUMIFS('Open Assgn'!N:N, 'Open Assgn'!O:O,$B$56, 'Open Assgn'!C:C, B57)</f>
        <v>0</v>
      </c>
    </row>
    <row r="58" spans="2:3" outlineLevel="1" x14ac:dyDescent="0.25">
      <c r="B58" s="17" t="s">
        <v>53</v>
      </c>
      <c r="C58" s="18">
        <f>SUMIFS('Open Assgn'!N:N, 'Open Assgn'!O:O,$B$56, 'Open Assgn'!C:C, B58)</f>
        <v>0</v>
      </c>
    </row>
    <row r="59" spans="2:3" outlineLevel="1" x14ac:dyDescent="0.25">
      <c r="B59" s="17" t="s">
        <v>2</v>
      </c>
      <c r="C59" s="18">
        <f>SUMIFS('Open Assgn'!N:N, 'Open Assgn'!O:O,$B$56, 'Open Assgn'!C:C, B59)</f>
        <v>48760.215723960078</v>
      </c>
    </row>
    <row r="60" spans="2:3" outlineLevel="1" x14ac:dyDescent="0.25">
      <c r="B60" s="17" t="s">
        <v>3</v>
      </c>
      <c r="C60" s="18">
        <f>SUMIFS('Open Assgn'!N:N, 'Open Assgn'!O:O,$B$56, 'Open Assgn'!C:C, B60)</f>
        <v>0</v>
      </c>
    </row>
    <row r="61" spans="2:3" outlineLevel="1" x14ac:dyDescent="0.25">
      <c r="B61" s="17" t="s">
        <v>4</v>
      </c>
      <c r="C61" s="18">
        <f>SUMIFS('Open Assgn'!N:N, 'Open Assgn'!O:O,$B$56, 'Open Assgn'!C:C, B61)</f>
        <v>0</v>
      </c>
    </row>
    <row r="62" spans="2:3" outlineLevel="1" x14ac:dyDescent="0.25">
      <c r="B62" s="17" t="s">
        <v>5</v>
      </c>
      <c r="C62" s="18">
        <f>SUMIFS('Open Assgn'!N:N, 'Open Assgn'!O:O,$B$56, 'Open Assgn'!C:C, B62)</f>
        <v>901172.02896299004</v>
      </c>
    </row>
    <row r="63" spans="2:3" outlineLevel="1" x14ac:dyDescent="0.25">
      <c r="B63" s="17" t="s">
        <v>145</v>
      </c>
      <c r="C63" s="18">
        <f>SUMIFS('Open Assgn'!N:N, 'Open Assgn'!O:O,$B$56, 'Open Assgn'!C:C, B63)</f>
        <v>497972.612739</v>
      </c>
    </row>
    <row r="64" spans="2:3" x14ac:dyDescent="0.25">
      <c r="B64" s="15" t="s">
        <v>47</v>
      </c>
      <c r="C64" s="16">
        <f>SUM(C65:C71)</f>
        <v>0</v>
      </c>
    </row>
    <row r="65" spans="2:3" outlineLevel="1" x14ac:dyDescent="0.25">
      <c r="B65" s="17" t="s">
        <v>69</v>
      </c>
      <c r="C65" s="18">
        <f>SUMIFS('Open Assgn'!N:N, 'Open Assgn'!O:O, $B65, 'Open Assgn'!C:C, $B$64)</f>
        <v>0</v>
      </c>
    </row>
    <row r="66" spans="2:3" outlineLevel="1" x14ac:dyDescent="0.25">
      <c r="B66" s="17" t="s">
        <v>53</v>
      </c>
      <c r="C66" s="18">
        <f>SUMIFS('Open Assgn'!N:N, 'Open Assgn'!O:O, $B66, 'Open Assgn'!C:C, $B$64)</f>
        <v>0</v>
      </c>
    </row>
    <row r="67" spans="2:3" outlineLevel="1" x14ac:dyDescent="0.25">
      <c r="B67" s="17" t="s">
        <v>2</v>
      </c>
      <c r="C67" s="18">
        <f>SUMIFS('Open Assgn'!N:N, 'Open Assgn'!O:O, $B67, 'Open Assgn'!C:C, $B$64)</f>
        <v>0</v>
      </c>
    </row>
    <row r="68" spans="2:3" outlineLevel="1" x14ac:dyDescent="0.25">
      <c r="B68" s="17" t="s">
        <v>3</v>
      </c>
      <c r="C68" s="18">
        <f>SUMIFS('Open Assgn'!N:N, 'Open Assgn'!O:O, $B68, 'Open Assgn'!C:C, $B$64)</f>
        <v>0</v>
      </c>
    </row>
    <row r="69" spans="2:3" outlineLevel="1" x14ac:dyDescent="0.25">
      <c r="B69" s="17" t="s">
        <v>4</v>
      </c>
      <c r="C69" s="18">
        <f>SUMIFS('Open Assgn'!N:N, 'Open Assgn'!O:O, $B69, 'Open Assgn'!C:C, $B$64)</f>
        <v>0</v>
      </c>
    </row>
    <row r="70" spans="2:3" outlineLevel="1" x14ac:dyDescent="0.25">
      <c r="B70" s="17" t="s">
        <v>5</v>
      </c>
      <c r="C70" s="18">
        <f>SUMIFS('Open Assgn'!N:N, 'Open Assgn'!O:O, $B70, 'Open Assgn'!C:C, $B$65)</f>
        <v>0</v>
      </c>
    </row>
    <row r="71" spans="2:3" outlineLevel="1" x14ac:dyDescent="0.25">
      <c r="B71" s="17" t="s">
        <v>145</v>
      </c>
      <c r="C71" s="18">
        <f>SUMIFS('Open Assgn'!N:N, 'Open Assgn'!O:O, $B71, 'Open Assgn'!C:C, $B$65)</f>
        <v>0</v>
      </c>
    </row>
    <row r="72" spans="2:3" x14ac:dyDescent="0.25">
      <c r="B72" s="15" t="s">
        <v>46</v>
      </c>
      <c r="C72" s="16">
        <f>SUM(C73:C79)</f>
        <v>-49375.654000000039</v>
      </c>
    </row>
    <row r="73" spans="2:3" outlineLevel="1" x14ac:dyDescent="0.25">
      <c r="B73" s="17" t="s">
        <v>69</v>
      </c>
      <c r="C73" s="18">
        <f>SUMIFS('Open Assgn'!N:N, 'Open Assgn'!O:O,$B$72, 'Open Assgn'!C:C, B73)</f>
        <v>-49375.654000000039</v>
      </c>
    </row>
    <row r="74" spans="2:3" outlineLevel="1" x14ac:dyDescent="0.25">
      <c r="B74" s="17" t="s">
        <v>53</v>
      </c>
      <c r="C74" s="18">
        <f>SUMIFS('Open Assgn'!N:N, 'Open Assgn'!O:O,$B$72, 'Open Assgn'!C:C, B74)</f>
        <v>0</v>
      </c>
    </row>
    <row r="75" spans="2:3" outlineLevel="1" x14ac:dyDescent="0.25">
      <c r="B75" s="17" t="s">
        <v>2</v>
      </c>
      <c r="C75" s="18">
        <f>SUMIFS('Open Assgn'!N:N, 'Open Assgn'!O:O,$B$72, 'Open Assgn'!C:C, B75)</f>
        <v>0</v>
      </c>
    </row>
    <row r="76" spans="2:3" outlineLevel="1" x14ac:dyDescent="0.25">
      <c r="B76" s="17" t="s">
        <v>3</v>
      </c>
      <c r="C76" s="18">
        <f>SUMIFS('Open Assgn'!N:N, 'Open Assgn'!O:O,$B$72, 'Open Assgn'!C:C, B76)</f>
        <v>0</v>
      </c>
    </row>
    <row r="77" spans="2:3" outlineLevel="1" x14ac:dyDescent="0.25">
      <c r="B77" s="17" t="s">
        <v>4</v>
      </c>
      <c r="C77" s="18">
        <f>SUMIFS('Open Assgn'!N:N, 'Open Assgn'!O:O,$B$72, 'Open Assgn'!C:C, B77)</f>
        <v>0</v>
      </c>
    </row>
    <row r="78" spans="2:3" outlineLevel="1" x14ac:dyDescent="0.25">
      <c r="B78" s="17" t="s">
        <v>5</v>
      </c>
      <c r="C78" s="18">
        <f>SUMIFS('Open Assgn'!N:N, 'Open Assgn'!O:O,$B$72, 'Open Assgn'!C:C, B78)</f>
        <v>0</v>
      </c>
    </row>
    <row r="79" spans="2:3" outlineLevel="1" x14ac:dyDescent="0.25">
      <c r="B79" s="17" t="s">
        <v>145</v>
      </c>
      <c r="C79" s="18">
        <f>SUMIFS('Open Assgn'!N:N, 'Open Assgn'!O:O,$B$72, 'Open Assgn'!C:C, B79)</f>
        <v>0</v>
      </c>
    </row>
    <row r="80" spans="2:3" x14ac:dyDescent="0.25">
      <c r="B80" s="19" t="s">
        <v>78</v>
      </c>
      <c r="C80" s="16">
        <f>SUM(C81:C87)</f>
        <v>0</v>
      </c>
    </row>
    <row r="81" spans="2:3" outlineLevel="1" x14ac:dyDescent="0.25">
      <c r="B81" s="17" t="s">
        <v>69</v>
      </c>
      <c r="C81" s="18">
        <f>SUMIFS('Open Assgn'!N:N, 'Open Assgn'!O:O, $B$80, 'Open Assgn'!C:C, B81)</f>
        <v>0</v>
      </c>
    </row>
    <row r="82" spans="2:3" outlineLevel="1" x14ac:dyDescent="0.25">
      <c r="B82" s="17" t="s">
        <v>53</v>
      </c>
      <c r="C82" s="18">
        <f>SUMIFS('Open Assgn'!N:N, 'Open Assgn'!O:O, $B$80, 'Open Assgn'!C:C, B82)</f>
        <v>0</v>
      </c>
    </row>
    <row r="83" spans="2:3" outlineLevel="1" x14ac:dyDescent="0.25">
      <c r="B83" s="17" t="s">
        <v>2</v>
      </c>
      <c r="C83" s="18">
        <f>SUMIFS('Open Assgn'!N:N, 'Open Assgn'!O:O, $B$80, 'Open Assgn'!C:C, B83)</f>
        <v>0</v>
      </c>
    </row>
    <row r="84" spans="2:3" outlineLevel="1" x14ac:dyDescent="0.25">
      <c r="B84" s="17" t="s">
        <v>3</v>
      </c>
      <c r="C84" s="18">
        <f>SUMIFS('Open Assgn'!N:N, 'Open Assgn'!O:O, $B$80, 'Open Assgn'!C:C, B84)</f>
        <v>0</v>
      </c>
    </row>
    <row r="85" spans="2:3" outlineLevel="1" x14ac:dyDescent="0.25">
      <c r="B85" s="17" t="s">
        <v>4</v>
      </c>
      <c r="C85" s="18">
        <f>SUMIFS('Open Assgn'!N:N, 'Open Assgn'!O:O, $B$80, 'Open Assgn'!C:C, B85)</f>
        <v>0</v>
      </c>
    </row>
    <row r="86" spans="2:3" outlineLevel="1" x14ac:dyDescent="0.25">
      <c r="B86" s="17" t="s">
        <v>5</v>
      </c>
      <c r="C86" s="18">
        <f>SUMIFS('Open Assgn'!N:N, 'Open Assgn'!O:O, $B$80, 'Open Assgn'!C:C, B86)</f>
        <v>0</v>
      </c>
    </row>
    <row r="87" spans="2:3" outlineLevel="1" x14ac:dyDescent="0.25">
      <c r="B87" s="17" t="s">
        <v>145</v>
      </c>
      <c r="C87" s="18">
        <f>SUMIFS('Open Assgn'!N:N, 'Open Assgn'!O:O, $B$80, 'Open Assgn'!C:C, B87)</f>
        <v>0</v>
      </c>
    </row>
    <row r="88" spans="2:3" ht="14.25" customHeight="1" x14ac:dyDescent="0.25">
      <c r="B88" s="19" t="s">
        <v>89</v>
      </c>
      <c r="C88" s="16">
        <f>SUM(C89:C95)</f>
        <v>29453.46933996947</v>
      </c>
    </row>
    <row r="89" spans="2:3" outlineLevel="1" x14ac:dyDescent="0.25">
      <c r="B89" s="17" t="s">
        <v>69</v>
      </c>
      <c r="C89" s="18">
        <f>SUMIFS('Open Assgn'!N:N, 'Open Assgn'!O:O, $B$88, 'Open Assgn'!C:C, B89)</f>
        <v>0</v>
      </c>
    </row>
    <row r="90" spans="2:3" outlineLevel="1" x14ac:dyDescent="0.25">
      <c r="B90" s="17" t="s">
        <v>53</v>
      </c>
      <c r="C90" s="18">
        <f>SUMIFS('Open Assgn'!N:N, 'Open Assgn'!O:O, $B$88, 'Open Assgn'!C:C, B90)</f>
        <v>0</v>
      </c>
    </row>
    <row r="91" spans="2:3" outlineLevel="1" x14ac:dyDescent="0.25">
      <c r="B91" s="17" t="s">
        <v>2</v>
      </c>
      <c r="C91" s="18">
        <f>SUMIFS('Open Assgn'!N:N, 'Open Assgn'!O:O, $B$88, 'Open Assgn'!C:C, B91)</f>
        <v>0</v>
      </c>
    </row>
    <row r="92" spans="2:3" outlineLevel="1" x14ac:dyDescent="0.25">
      <c r="B92" s="17" t="s">
        <v>3</v>
      </c>
      <c r="C92" s="18">
        <f>SUMIFS('Open Assgn'!N:N, 'Open Assgn'!O:O, $B$88, 'Open Assgn'!C:C, B92)</f>
        <v>0</v>
      </c>
    </row>
    <row r="93" spans="2:3" outlineLevel="1" x14ac:dyDescent="0.25">
      <c r="B93" s="17" t="s">
        <v>4</v>
      </c>
      <c r="C93" s="18">
        <f>SUMIFS('Open Assgn'!N:N, 'Open Assgn'!O:O, $B$88, 'Open Assgn'!C:C, B93)</f>
        <v>29453.46933996947</v>
      </c>
    </row>
    <row r="94" spans="2:3" outlineLevel="1" x14ac:dyDescent="0.25">
      <c r="B94" s="17" t="s">
        <v>5</v>
      </c>
      <c r="C94" s="18">
        <f>SUMIFS('Open Assgn'!N:N, 'Open Assgn'!O:O, $B$88, 'Open Assgn'!C:C, B94)</f>
        <v>0</v>
      </c>
    </row>
    <row r="95" spans="2:3" outlineLevel="1" x14ac:dyDescent="0.25">
      <c r="B95" s="17" t="s">
        <v>145</v>
      </c>
      <c r="C95" s="18">
        <f>SUMIFS('Open Assgn'!N:N, 'Open Assgn'!O:O, $B$88, 'Open Assgn'!C:C, B95)</f>
        <v>0</v>
      </c>
    </row>
    <row r="98" spans="2:2" x14ac:dyDescent="0.25">
      <c r="B98" s="22"/>
    </row>
    <row r="100" spans="2:2" x14ac:dyDescent="0.25">
      <c r="B100" s="23"/>
    </row>
  </sheetData>
  <mergeCells count="1">
    <mergeCell ref="B26:C2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C5E07-595E-413E-B0BC-68820506D11C}">
  <sheetPr codeName="Sheet2"/>
  <dimension ref="A1:O72"/>
  <sheetViews>
    <sheetView topLeftCell="A33" workbookViewId="0">
      <selection activeCell="O42" sqref="O42"/>
    </sheetView>
  </sheetViews>
  <sheetFormatPr defaultRowHeight="15" x14ac:dyDescent="0.25"/>
  <cols>
    <col min="1" max="1" width="12.140625" bestFit="1" customWidth="1"/>
    <col min="2" max="2" width="39.85546875" customWidth="1"/>
    <col min="3" max="3" width="20.5703125" customWidth="1"/>
    <col min="6" max="6" width="14.140625" customWidth="1"/>
    <col min="7" max="7" width="18.5703125" customWidth="1"/>
    <col min="8" max="10" width="14" bestFit="1" customWidth="1"/>
    <col min="11" max="11" width="13.28515625" bestFit="1" customWidth="1"/>
    <col min="12" max="14" width="14" bestFit="1" customWidth="1"/>
  </cols>
  <sheetData>
    <row r="1" spans="1:15" s="33" customFormat="1" x14ac:dyDescent="0.25">
      <c r="A1" s="37" t="s">
        <v>57</v>
      </c>
      <c r="B1" s="37" t="s">
        <v>18</v>
      </c>
      <c r="C1" s="37" t="s">
        <v>19</v>
      </c>
      <c r="D1" s="37" t="s">
        <v>20</v>
      </c>
      <c r="E1" s="37" t="s">
        <v>21</v>
      </c>
      <c r="F1" s="37" t="s">
        <v>22</v>
      </c>
      <c r="G1" s="37" t="s">
        <v>23</v>
      </c>
      <c r="H1" s="37" t="s">
        <v>24</v>
      </c>
      <c r="I1" s="37" t="s">
        <v>25</v>
      </c>
      <c r="J1" s="37" t="s">
        <v>26</v>
      </c>
      <c r="K1" s="37" t="s">
        <v>27</v>
      </c>
      <c r="L1" s="37" t="s">
        <v>28</v>
      </c>
      <c r="M1" s="37" t="s">
        <v>29</v>
      </c>
      <c r="N1" s="37" t="s">
        <v>30</v>
      </c>
      <c r="O1" s="37" t="s">
        <v>31</v>
      </c>
    </row>
    <row r="2" spans="1:15" ht="15.75" customHeight="1" x14ac:dyDescent="0.25">
      <c r="A2" t="s">
        <v>140</v>
      </c>
      <c r="B2" t="s">
        <v>61</v>
      </c>
      <c r="C2" t="s">
        <v>2</v>
      </c>
      <c r="D2" t="s">
        <v>32</v>
      </c>
      <c r="E2" t="s">
        <v>0</v>
      </c>
      <c r="F2" t="s">
        <v>39</v>
      </c>
      <c r="G2" t="s">
        <v>77</v>
      </c>
      <c r="H2" s="34">
        <v>2386480.7318923599</v>
      </c>
      <c r="I2" s="34">
        <v>1988394.06</v>
      </c>
      <c r="J2" s="34">
        <v>1988394.06</v>
      </c>
      <c r="K2" s="34">
        <v>398086.67189235991</v>
      </c>
      <c r="L2" s="34">
        <v>0</v>
      </c>
      <c r="M2" s="34">
        <v>1988394.06</v>
      </c>
      <c r="N2" s="34">
        <v>2386480.7318923599</v>
      </c>
      <c r="O2" t="s">
        <v>17</v>
      </c>
    </row>
    <row r="3" spans="1:15" x14ac:dyDescent="0.25">
      <c r="A3" t="s">
        <v>151</v>
      </c>
      <c r="B3" t="s">
        <v>45</v>
      </c>
      <c r="C3" t="s">
        <v>2</v>
      </c>
      <c r="D3" t="s">
        <v>35</v>
      </c>
      <c r="E3" t="s">
        <v>0</v>
      </c>
      <c r="F3" t="s">
        <v>39</v>
      </c>
      <c r="G3" t="s">
        <v>77</v>
      </c>
      <c r="H3" s="34">
        <v>-2371650.9612121698</v>
      </c>
      <c r="I3" s="34">
        <v>-2276730.5099999998</v>
      </c>
      <c r="J3" s="34">
        <v>-1935220.93</v>
      </c>
      <c r="K3" s="34">
        <v>-436430.03121216991</v>
      </c>
      <c r="L3" s="34">
        <v>0</v>
      </c>
      <c r="M3" s="34">
        <v>-1935220.93</v>
      </c>
      <c r="N3" s="34">
        <v>-2371650.9612121698</v>
      </c>
      <c r="O3" t="s">
        <v>17</v>
      </c>
    </row>
    <row r="4" spans="1:15" x14ac:dyDescent="0.25">
      <c r="A4" t="s">
        <v>141</v>
      </c>
      <c r="B4" t="s">
        <v>61</v>
      </c>
      <c r="C4" t="s">
        <v>2</v>
      </c>
      <c r="D4" t="s">
        <v>32</v>
      </c>
      <c r="E4" t="s">
        <v>0</v>
      </c>
      <c r="F4" t="s">
        <v>39</v>
      </c>
      <c r="G4" t="s">
        <v>77</v>
      </c>
      <c r="H4" s="34">
        <v>2094880.2880883701</v>
      </c>
      <c r="I4" s="34">
        <v>1745433.1</v>
      </c>
      <c r="J4" s="34">
        <v>1745433.1</v>
      </c>
      <c r="K4" s="34">
        <v>349447.18808837002</v>
      </c>
      <c r="L4" s="34">
        <v>0</v>
      </c>
      <c r="M4" s="34">
        <v>1745433.1</v>
      </c>
      <c r="N4" s="34">
        <v>2094880.2880883701</v>
      </c>
      <c r="O4" t="s">
        <v>17</v>
      </c>
    </row>
    <row r="5" spans="1:15" x14ac:dyDescent="0.25">
      <c r="A5" t="s">
        <v>152</v>
      </c>
      <c r="B5" t="s">
        <v>45</v>
      </c>
      <c r="C5" t="s">
        <v>2</v>
      </c>
      <c r="D5" t="s">
        <v>35</v>
      </c>
      <c r="E5" t="s">
        <v>0</v>
      </c>
      <c r="F5" t="s">
        <v>39</v>
      </c>
      <c r="G5" t="s">
        <v>77</v>
      </c>
      <c r="H5" s="34">
        <v>-2081842.5371937801</v>
      </c>
      <c r="I5" s="34">
        <v>-1998511.49</v>
      </c>
      <c r="J5" s="34">
        <v>-1698734.77</v>
      </c>
      <c r="K5" s="34">
        <v>-383107.76719377999</v>
      </c>
      <c r="L5" s="34">
        <v>0</v>
      </c>
      <c r="M5" s="34">
        <v>-1698734.77</v>
      </c>
      <c r="N5" s="34">
        <v>-2081842.5371937801</v>
      </c>
      <c r="O5" t="s">
        <v>17</v>
      </c>
    </row>
    <row r="6" spans="1:15" x14ac:dyDescent="0.25">
      <c r="A6" t="s">
        <v>142</v>
      </c>
      <c r="B6" t="s">
        <v>61</v>
      </c>
      <c r="C6" t="s">
        <v>2</v>
      </c>
      <c r="D6" t="s">
        <v>32</v>
      </c>
      <c r="E6" t="s">
        <v>0</v>
      </c>
      <c r="F6" t="s">
        <v>39</v>
      </c>
      <c r="G6" t="s">
        <v>77</v>
      </c>
      <c r="H6" s="34">
        <v>1791235.09534952</v>
      </c>
      <c r="I6" s="34">
        <v>1492444.41</v>
      </c>
      <c r="J6" s="34">
        <v>1492444.41</v>
      </c>
      <c r="K6" s="34">
        <v>298790.68534952012</v>
      </c>
      <c r="L6" s="34">
        <v>0</v>
      </c>
      <c r="M6" s="34">
        <v>1492444.41</v>
      </c>
      <c r="N6" s="34">
        <v>1791235.09534952</v>
      </c>
      <c r="O6" t="s">
        <v>17</v>
      </c>
    </row>
    <row r="7" spans="1:15" x14ac:dyDescent="0.25">
      <c r="A7" t="s">
        <v>153</v>
      </c>
      <c r="B7" t="s">
        <v>45</v>
      </c>
      <c r="C7" t="s">
        <v>2</v>
      </c>
      <c r="D7" t="s">
        <v>35</v>
      </c>
      <c r="E7" t="s">
        <v>0</v>
      </c>
      <c r="F7" t="s">
        <v>39</v>
      </c>
      <c r="G7" t="s">
        <v>77</v>
      </c>
      <c r="H7" s="34">
        <v>-1780138.28268581</v>
      </c>
      <c r="I7" s="34">
        <v>-1708901.72</v>
      </c>
      <c r="J7" s="34">
        <v>-1452566.46</v>
      </c>
      <c r="K7" s="34">
        <v>-327571.82268580998</v>
      </c>
      <c r="L7" s="34">
        <v>0</v>
      </c>
      <c r="M7" s="34">
        <v>-1452566.46</v>
      </c>
      <c r="N7" s="34">
        <v>-1780138.28268581</v>
      </c>
      <c r="O7" t="s">
        <v>17</v>
      </c>
    </row>
    <row r="8" spans="1:15" x14ac:dyDescent="0.25">
      <c r="A8" t="s">
        <v>143</v>
      </c>
      <c r="B8" t="s">
        <v>61</v>
      </c>
      <c r="C8" t="s">
        <v>2</v>
      </c>
      <c r="D8" t="s">
        <v>32</v>
      </c>
      <c r="E8" t="s">
        <v>0</v>
      </c>
      <c r="F8" t="s">
        <v>39</v>
      </c>
      <c r="G8" t="s">
        <v>77</v>
      </c>
      <c r="H8" s="34">
        <v>857833.42437771999</v>
      </c>
      <c r="I8" s="34">
        <v>714740.74</v>
      </c>
      <c r="J8" s="34">
        <v>714740.74</v>
      </c>
      <c r="K8" s="34">
        <v>143092.68437772</v>
      </c>
      <c r="L8" s="34">
        <v>0</v>
      </c>
      <c r="M8" s="34">
        <v>714740.74</v>
      </c>
      <c r="N8" s="34">
        <v>857833.42437771999</v>
      </c>
      <c r="O8" t="s">
        <v>17</v>
      </c>
    </row>
    <row r="9" spans="1:15" x14ac:dyDescent="0.25">
      <c r="A9" t="s">
        <v>154</v>
      </c>
      <c r="B9" t="s">
        <v>45</v>
      </c>
      <c r="C9" t="s">
        <v>2</v>
      </c>
      <c r="D9" t="s">
        <v>35</v>
      </c>
      <c r="E9" t="s">
        <v>0</v>
      </c>
      <c r="F9" t="s">
        <v>39</v>
      </c>
      <c r="G9" t="s">
        <v>77</v>
      </c>
      <c r="H9" s="34">
        <v>-852519.09303634998</v>
      </c>
      <c r="I9" s="34">
        <v>-818404.1</v>
      </c>
      <c r="J9" s="34">
        <v>-695643.49</v>
      </c>
      <c r="K9" s="34">
        <v>-156875.60303634999</v>
      </c>
      <c r="L9" s="34">
        <v>0</v>
      </c>
      <c r="M9" s="34">
        <v>-695643.49</v>
      </c>
      <c r="N9" s="34">
        <v>-852519.09303634998</v>
      </c>
      <c r="O9" t="s">
        <v>17</v>
      </c>
    </row>
    <row r="10" spans="1:15" x14ac:dyDescent="0.25">
      <c r="A10" t="s">
        <v>144</v>
      </c>
      <c r="B10" t="s">
        <v>61</v>
      </c>
      <c r="C10" t="s">
        <v>2</v>
      </c>
      <c r="D10" t="s">
        <v>32</v>
      </c>
      <c r="E10" t="s">
        <v>0</v>
      </c>
      <c r="F10" t="s">
        <v>39</v>
      </c>
      <c r="G10" t="s">
        <v>77</v>
      </c>
      <c r="H10" s="34">
        <v>723406.81445791002</v>
      </c>
      <c r="I10" s="34">
        <v>602737.43999999994</v>
      </c>
      <c r="J10" s="34">
        <v>602737.43999999994</v>
      </c>
      <c r="K10" s="34">
        <v>120669.3744579101</v>
      </c>
      <c r="L10" s="34">
        <v>0</v>
      </c>
      <c r="M10" s="34">
        <v>602737.43999999994</v>
      </c>
      <c r="N10" s="34">
        <v>723406.81445791002</v>
      </c>
      <c r="O10" t="s">
        <v>17</v>
      </c>
    </row>
    <row r="11" spans="1:15" x14ac:dyDescent="0.25">
      <c r="A11" t="s">
        <v>155</v>
      </c>
      <c r="B11" t="s">
        <v>45</v>
      </c>
      <c r="C11" t="s">
        <v>2</v>
      </c>
      <c r="D11" t="s">
        <v>35</v>
      </c>
      <c r="E11" t="s">
        <v>0</v>
      </c>
      <c r="F11" t="s">
        <v>39</v>
      </c>
      <c r="G11" t="s">
        <v>77</v>
      </c>
      <c r="H11" s="34">
        <v>-718925.26431381004</v>
      </c>
      <c r="I11" s="34">
        <v>-662299.9</v>
      </c>
      <c r="J11" s="34">
        <v>-562954.92000000004</v>
      </c>
      <c r="K11" s="34">
        <v>-155970.34431381</v>
      </c>
      <c r="L11" s="34">
        <v>0</v>
      </c>
      <c r="M11" s="34">
        <v>-562954.92000000004</v>
      </c>
      <c r="N11" s="34">
        <v>-718925.26431381004</v>
      </c>
      <c r="O11" t="s">
        <v>17</v>
      </c>
    </row>
    <row r="12" spans="1:15" x14ac:dyDescent="0.25">
      <c r="A12" t="s">
        <v>146</v>
      </c>
      <c r="B12" t="s">
        <v>147</v>
      </c>
      <c r="C12" t="s">
        <v>145</v>
      </c>
      <c r="D12" t="s">
        <v>32</v>
      </c>
      <c r="E12" t="s">
        <v>0</v>
      </c>
      <c r="F12" t="s">
        <v>148</v>
      </c>
      <c r="G12" t="s">
        <v>91</v>
      </c>
      <c r="H12" s="34">
        <v>497972.612739</v>
      </c>
      <c r="I12" s="34">
        <v>428485.3</v>
      </c>
      <c r="J12" s="34">
        <v>428485.3</v>
      </c>
      <c r="K12" s="34">
        <v>69487.312739000015</v>
      </c>
      <c r="L12" s="34">
        <v>0</v>
      </c>
      <c r="M12" s="34">
        <v>428485.3</v>
      </c>
      <c r="N12" s="34">
        <v>497972.612739</v>
      </c>
      <c r="O12" t="s">
        <v>17</v>
      </c>
    </row>
    <row r="13" spans="1:15" x14ac:dyDescent="0.25">
      <c r="A13" t="s">
        <v>76</v>
      </c>
      <c r="B13" t="s">
        <v>38</v>
      </c>
      <c r="C13" t="s">
        <v>5</v>
      </c>
      <c r="D13" t="s">
        <v>32</v>
      </c>
      <c r="E13" t="s">
        <v>0</v>
      </c>
      <c r="F13" t="s">
        <v>70</v>
      </c>
      <c r="G13" t="s">
        <v>77</v>
      </c>
      <c r="H13" s="34">
        <v>468295.61832645</v>
      </c>
      <c r="I13" s="34">
        <v>377191.01</v>
      </c>
      <c r="J13" s="34">
        <v>0</v>
      </c>
      <c r="K13" s="34">
        <v>468295.61832645</v>
      </c>
      <c r="L13" s="34">
        <v>0</v>
      </c>
      <c r="M13" s="34">
        <v>334408.74</v>
      </c>
      <c r="N13" s="34">
        <v>468295.61832645</v>
      </c>
      <c r="O13" t="s">
        <v>17</v>
      </c>
    </row>
    <row r="14" spans="1:15" x14ac:dyDescent="0.25">
      <c r="A14" t="s">
        <v>149</v>
      </c>
      <c r="B14" t="s">
        <v>38</v>
      </c>
      <c r="C14" t="s">
        <v>5</v>
      </c>
      <c r="D14" t="s">
        <v>32</v>
      </c>
      <c r="E14" t="s">
        <v>0</v>
      </c>
      <c r="F14" t="s">
        <v>70</v>
      </c>
      <c r="G14" t="s">
        <v>150</v>
      </c>
      <c r="H14" s="34">
        <v>432876.41063653998</v>
      </c>
      <c r="I14" s="34">
        <v>387192.68</v>
      </c>
      <c r="J14" s="34">
        <v>0</v>
      </c>
      <c r="K14" s="34">
        <v>432876.41063653998</v>
      </c>
      <c r="L14" s="34">
        <v>0</v>
      </c>
      <c r="M14" s="34">
        <v>348473.41</v>
      </c>
      <c r="N14" s="34">
        <v>432876.41063653998</v>
      </c>
      <c r="O14" t="s">
        <v>17</v>
      </c>
    </row>
    <row r="15" spans="1:15" x14ac:dyDescent="0.25">
      <c r="A15" t="s">
        <v>114</v>
      </c>
      <c r="B15" t="s">
        <v>101</v>
      </c>
      <c r="C15" t="s">
        <v>2</v>
      </c>
      <c r="D15" t="s">
        <v>35</v>
      </c>
      <c r="E15" t="s">
        <v>0</v>
      </c>
      <c r="F15" t="s">
        <v>102</v>
      </c>
      <c r="G15" t="s">
        <v>77</v>
      </c>
      <c r="H15" s="34">
        <v>-573133.65013520001</v>
      </c>
      <c r="I15" s="34">
        <v>-553691.93999999994</v>
      </c>
      <c r="J15" s="34">
        <v>0</v>
      </c>
      <c r="K15" s="34">
        <v>-573133.65013520001</v>
      </c>
      <c r="L15" s="34">
        <v>653748.59</v>
      </c>
      <c r="M15" s="34">
        <v>653748.59</v>
      </c>
      <c r="N15" s="34">
        <v>80614.939864799962</v>
      </c>
      <c r="O15" t="s">
        <v>50</v>
      </c>
    </row>
    <row r="16" spans="1:15" x14ac:dyDescent="0.25">
      <c r="A16" t="s">
        <v>111</v>
      </c>
      <c r="B16" t="s">
        <v>88</v>
      </c>
      <c r="C16" t="s">
        <v>2</v>
      </c>
      <c r="D16" t="s">
        <v>32</v>
      </c>
      <c r="E16" t="s">
        <v>0</v>
      </c>
      <c r="F16" t="s">
        <v>39</v>
      </c>
      <c r="G16" t="s">
        <v>77</v>
      </c>
      <c r="H16" s="34">
        <v>725251.01413540996</v>
      </c>
      <c r="I16" s="34">
        <v>620901.56999999995</v>
      </c>
      <c r="J16" s="34">
        <v>620901.56999999995</v>
      </c>
      <c r="K16" s="34">
        <v>104349.44413541</v>
      </c>
      <c r="L16" s="34">
        <v>-768879.69000000006</v>
      </c>
      <c r="M16" s="34">
        <v>-147978.12</v>
      </c>
      <c r="N16" s="34">
        <v>-43628.675864590099</v>
      </c>
      <c r="O16" t="s">
        <v>50</v>
      </c>
    </row>
    <row r="17" spans="1:15" x14ac:dyDescent="0.25">
      <c r="A17" t="s">
        <v>112</v>
      </c>
      <c r="B17" t="s">
        <v>41</v>
      </c>
      <c r="C17" t="s">
        <v>2</v>
      </c>
      <c r="D17" t="s">
        <v>35</v>
      </c>
      <c r="E17" t="s">
        <v>0</v>
      </c>
      <c r="F17" t="s">
        <v>39</v>
      </c>
      <c r="G17" t="s">
        <v>77</v>
      </c>
      <c r="H17" s="34">
        <v>-720943.60033540998</v>
      </c>
      <c r="I17" s="34">
        <v>-543914.5</v>
      </c>
      <c r="J17" s="34">
        <v>-543914.5</v>
      </c>
      <c r="K17" s="34">
        <v>-177029.10033541001</v>
      </c>
      <c r="L17" s="34">
        <v>764071.91999999993</v>
      </c>
      <c r="M17" s="34">
        <v>220157.42</v>
      </c>
      <c r="N17" s="34">
        <v>43128.319664589937</v>
      </c>
      <c r="O17" t="s">
        <v>50</v>
      </c>
    </row>
    <row r="18" spans="1:15" x14ac:dyDescent="0.25">
      <c r="A18" t="s">
        <v>109</v>
      </c>
      <c r="B18" t="s">
        <v>88</v>
      </c>
      <c r="C18" t="s">
        <v>2</v>
      </c>
      <c r="D18" t="s">
        <v>32</v>
      </c>
      <c r="E18" t="s">
        <v>0</v>
      </c>
      <c r="F18" t="s">
        <v>39</v>
      </c>
      <c r="G18" t="s">
        <v>77</v>
      </c>
      <c r="H18" s="34">
        <v>727348.02832262998</v>
      </c>
      <c r="I18" s="34">
        <v>620404.03</v>
      </c>
      <c r="J18" s="34">
        <v>620404.03</v>
      </c>
      <c r="K18" s="34">
        <v>106943.99832263</v>
      </c>
      <c r="L18" s="34">
        <v>-768879.69000000006</v>
      </c>
      <c r="M18" s="34">
        <v>-148475.65999999989</v>
      </c>
      <c r="N18" s="34">
        <v>-41531.661677370081</v>
      </c>
      <c r="O18" t="s">
        <v>50</v>
      </c>
    </row>
    <row r="19" spans="1:15" x14ac:dyDescent="0.25">
      <c r="A19" t="s">
        <v>110</v>
      </c>
      <c r="B19" t="s">
        <v>41</v>
      </c>
      <c r="C19" t="s">
        <v>2</v>
      </c>
      <c r="D19" t="s">
        <v>35</v>
      </c>
      <c r="E19" t="s">
        <v>0</v>
      </c>
      <c r="F19" t="s">
        <v>39</v>
      </c>
      <c r="G19" t="s">
        <v>77</v>
      </c>
      <c r="H19" s="34">
        <v>-723045.99064263003</v>
      </c>
      <c r="I19" s="34">
        <v>-543516.06000000006</v>
      </c>
      <c r="J19" s="34">
        <v>-543516.06000000006</v>
      </c>
      <c r="K19" s="34">
        <v>-179529.93064263</v>
      </c>
      <c r="L19" s="34">
        <v>764071.91999999993</v>
      </c>
      <c r="M19" s="34">
        <v>220555.86</v>
      </c>
      <c r="N19" s="34">
        <v>41025.929357369903</v>
      </c>
      <c r="O19" t="s">
        <v>50</v>
      </c>
    </row>
    <row r="20" spans="1:15" x14ac:dyDescent="0.25">
      <c r="A20" t="s">
        <v>93</v>
      </c>
      <c r="B20" t="s">
        <v>88</v>
      </c>
      <c r="C20" t="s">
        <v>2</v>
      </c>
      <c r="D20" t="s">
        <v>32</v>
      </c>
      <c r="E20" t="s">
        <v>0</v>
      </c>
      <c r="F20" t="s">
        <v>39</v>
      </c>
      <c r="G20" t="s">
        <v>91</v>
      </c>
      <c r="H20" s="34">
        <v>1071737.48308463</v>
      </c>
      <c r="I20" s="34">
        <v>934169</v>
      </c>
      <c r="J20" s="34">
        <v>934169</v>
      </c>
      <c r="K20" s="34">
        <v>137568.48308462999</v>
      </c>
      <c r="L20" s="34">
        <v>-1033542.97</v>
      </c>
      <c r="M20" s="34">
        <v>-99373.97</v>
      </c>
      <c r="N20" s="34">
        <v>38194.513084630024</v>
      </c>
      <c r="O20" t="s">
        <v>50</v>
      </c>
    </row>
    <row r="21" spans="1:15" x14ac:dyDescent="0.25">
      <c r="A21" t="s">
        <v>95</v>
      </c>
      <c r="B21" t="s">
        <v>88</v>
      </c>
      <c r="C21" t="s">
        <v>2</v>
      </c>
      <c r="D21" t="s">
        <v>32</v>
      </c>
      <c r="E21" t="s">
        <v>0</v>
      </c>
      <c r="F21" t="s">
        <v>39</v>
      </c>
      <c r="G21" t="s">
        <v>91</v>
      </c>
      <c r="H21" s="34">
        <v>972970.79916254</v>
      </c>
      <c r="I21" s="34">
        <v>842569.63</v>
      </c>
      <c r="J21" s="34">
        <v>842569.63</v>
      </c>
      <c r="K21" s="34">
        <v>130401.16916254</v>
      </c>
      <c r="L21" s="34">
        <v>-936630.7</v>
      </c>
      <c r="M21" s="34">
        <v>-94061.07</v>
      </c>
      <c r="N21" s="34">
        <v>36340.099162540049</v>
      </c>
      <c r="O21" t="s">
        <v>50</v>
      </c>
    </row>
    <row r="22" spans="1:15" x14ac:dyDescent="0.25">
      <c r="A22" t="s">
        <v>122</v>
      </c>
      <c r="B22" t="s">
        <v>101</v>
      </c>
      <c r="C22" t="s">
        <v>2</v>
      </c>
      <c r="D22" t="s">
        <v>35</v>
      </c>
      <c r="E22" t="s">
        <v>0</v>
      </c>
      <c r="F22" t="s">
        <v>102</v>
      </c>
      <c r="G22" t="s">
        <v>77</v>
      </c>
      <c r="H22" s="34">
        <v>-290661.89438439999</v>
      </c>
      <c r="I22" s="34">
        <v>-275390.28000000003</v>
      </c>
      <c r="J22" s="34">
        <v>0</v>
      </c>
      <c r="K22" s="34">
        <v>-290661.89438439999</v>
      </c>
      <c r="L22" s="34">
        <v>326874.3</v>
      </c>
      <c r="M22" s="34">
        <v>326874.3</v>
      </c>
      <c r="N22" s="34">
        <v>36212.405615600001</v>
      </c>
      <c r="O22" t="s">
        <v>50</v>
      </c>
    </row>
    <row r="23" spans="1:15" x14ac:dyDescent="0.25">
      <c r="A23" t="s">
        <v>113</v>
      </c>
      <c r="B23" t="s">
        <v>88</v>
      </c>
      <c r="C23" t="s">
        <v>2</v>
      </c>
      <c r="D23" t="s">
        <v>32</v>
      </c>
      <c r="E23" t="s">
        <v>0</v>
      </c>
      <c r="F23" t="s">
        <v>39</v>
      </c>
      <c r="G23" t="s">
        <v>77</v>
      </c>
      <c r="H23" s="34">
        <v>622547.77697033004</v>
      </c>
      <c r="I23" s="34">
        <v>416603.47</v>
      </c>
      <c r="J23" s="34">
        <v>0</v>
      </c>
      <c r="K23" s="34">
        <v>622547.77697033004</v>
      </c>
      <c r="L23" s="34">
        <v>-657866.99</v>
      </c>
      <c r="M23" s="34">
        <v>-657866.99</v>
      </c>
      <c r="N23" s="34">
        <v>-35319.213029669947</v>
      </c>
      <c r="O23" t="s">
        <v>50</v>
      </c>
    </row>
    <row r="24" spans="1:15" x14ac:dyDescent="0.25">
      <c r="A24" t="s">
        <v>94</v>
      </c>
      <c r="B24" t="s">
        <v>41</v>
      </c>
      <c r="C24" t="s">
        <v>2</v>
      </c>
      <c r="D24" t="s">
        <v>35</v>
      </c>
      <c r="E24" t="s">
        <v>0</v>
      </c>
      <c r="F24" t="s">
        <v>39</v>
      </c>
      <c r="G24" t="s">
        <v>91</v>
      </c>
      <c r="H24" s="34">
        <v>-1060543.0453621</v>
      </c>
      <c r="I24" s="34">
        <v>-828605.17</v>
      </c>
      <c r="J24" s="34">
        <v>-828605.17</v>
      </c>
      <c r="K24" s="34">
        <v>-231937.87536209999</v>
      </c>
      <c r="L24" s="34">
        <v>1026841.6</v>
      </c>
      <c r="M24" s="34">
        <v>198236.43</v>
      </c>
      <c r="N24" s="34">
        <v>-33701.445362100138</v>
      </c>
      <c r="O24" t="s">
        <v>50</v>
      </c>
    </row>
    <row r="25" spans="1:15" x14ac:dyDescent="0.25">
      <c r="A25" t="s">
        <v>67</v>
      </c>
      <c r="B25" t="s">
        <v>68</v>
      </c>
      <c r="C25" t="s">
        <v>69</v>
      </c>
      <c r="D25" t="s">
        <v>35</v>
      </c>
      <c r="E25" t="s">
        <v>0</v>
      </c>
      <c r="F25" t="s">
        <v>70</v>
      </c>
      <c r="G25" t="s">
        <v>71</v>
      </c>
      <c r="H25" s="34">
        <v>-316370.83500000002</v>
      </c>
      <c r="I25" s="34">
        <v>-287100</v>
      </c>
      <c r="J25" s="34">
        <v>-253096.48</v>
      </c>
      <c r="K25" s="34">
        <v>-63274.35500000001</v>
      </c>
      <c r="L25" s="34">
        <v>283687.92</v>
      </c>
      <c r="M25" s="34">
        <v>29270.61</v>
      </c>
      <c r="N25" s="34">
        <v>-32682.915000000041</v>
      </c>
      <c r="O25" t="s">
        <v>46</v>
      </c>
    </row>
    <row r="26" spans="1:15" x14ac:dyDescent="0.25">
      <c r="A26" t="s">
        <v>96</v>
      </c>
      <c r="B26" t="s">
        <v>41</v>
      </c>
      <c r="C26" t="s">
        <v>2</v>
      </c>
      <c r="D26" t="s">
        <v>35</v>
      </c>
      <c r="E26" t="s">
        <v>0</v>
      </c>
      <c r="F26" t="s">
        <v>39</v>
      </c>
      <c r="G26" t="s">
        <v>91</v>
      </c>
      <c r="H26" s="34">
        <v>-961617.63976130995</v>
      </c>
      <c r="I26" s="34">
        <v>-747922.39</v>
      </c>
      <c r="J26" s="34">
        <v>-747922.39</v>
      </c>
      <c r="K26" s="34">
        <v>-213695.24976130991</v>
      </c>
      <c r="L26" s="34">
        <v>930557.7</v>
      </c>
      <c r="M26" s="34">
        <v>182635.31</v>
      </c>
      <c r="N26" s="34">
        <v>-31059.939761310001</v>
      </c>
      <c r="O26" t="s">
        <v>50</v>
      </c>
    </row>
    <row r="27" spans="1:15" x14ac:dyDescent="0.25">
      <c r="A27" t="s">
        <v>99</v>
      </c>
      <c r="B27" t="s">
        <v>88</v>
      </c>
      <c r="C27" t="s">
        <v>2</v>
      </c>
      <c r="D27" t="s">
        <v>32</v>
      </c>
      <c r="E27" t="s">
        <v>0</v>
      </c>
      <c r="F27" t="s">
        <v>39</v>
      </c>
      <c r="G27" t="s">
        <v>91</v>
      </c>
      <c r="H27" s="34">
        <v>327131.97116791998</v>
      </c>
      <c r="I27" s="34">
        <v>207166.07</v>
      </c>
      <c r="J27" s="34">
        <v>207166.07</v>
      </c>
      <c r="K27" s="34">
        <v>119965.90116792</v>
      </c>
      <c r="L27" s="34">
        <v>-351748.03999999992</v>
      </c>
      <c r="M27" s="34">
        <v>-144581.97</v>
      </c>
      <c r="N27" s="34">
        <v>-24616.068832079942</v>
      </c>
      <c r="O27" t="s">
        <v>50</v>
      </c>
    </row>
    <row r="28" spans="1:15" x14ac:dyDescent="0.25">
      <c r="A28" t="s">
        <v>100</v>
      </c>
      <c r="B28" t="s">
        <v>101</v>
      </c>
      <c r="C28" t="s">
        <v>2</v>
      </c>
      <c r="D28" t="s">
        <v>35</v>
      </c>
      <c r="E28" t="s">
        <v>0</v>
      </c>
      <c r="F28" t="s">
        <v>102</v>
      </c>
      <c r="G28" t="s">
        <v>91</v>
      </c>
      <c r="H28" s="34">
        <v>-324851.86176791001</v>
      </c>
      <c r="I28" s="34">
        <v>-293732.8</v>
      </c>
      <c r="J28" s="34">
        <v>-205612.96</v>
      </c>
      <c r="K28" s="34">
        <v>-119238.90176791001</v>
      </c>
      <c r="L28" s="34">
        <v>349467.93000000011</v>
      </c>
      <c r="M28" s="34">
        <v>143854.97</v>
      </c>
      <c r="N28" s="34">
        <v>24616.0682320901</v>
      </c>
      <c r="O28" t="s">
        <v>50</v>
      </c>
    </row>
    <row r="29" spans="1:15" x14ac:dyDescent="0.25">
      <c r="A29" t="s">
        <v>116</v>
      </c>
      <c r="B29" t="s">
        <v>101</v>
      </c>
      <c r="C29" t="s">
        <v>2</v>
      </c>
      <c r="D29" t="s">
        <v>35</v>
      </c>
      <c r="E29" t="s">
        <v>0</v>
      </c>
      <c r="F29" t="s">
        <v>102</v>
      </c>
      <c r="G29" t="s">
        <v>77</v>
      </c>
      <c r="H29" s="34">
        <v>-141761.0258988</v>
      </c>
      <c r="I29" s="34">
        <v>-137125.42000000001</v>
      </c>
      <c r="J29" s="34">
        <v>0</v>
      </c>
      <c r="K29" s="34">
        <v>-141761.0258988</v>
      </c>
      <c r="L29" s="34">
        <v>163437.15</v>
      </c>
      <c r="M29" s="34">
        <v>163437.15</v>
      </c>
      <c r="N29" s="34">
        <v>21676.124101199999</v>
      </c>
      <c r="O29" t="s">
        <v>50</v>
      </c>
    </row>
    <row r="30" spans="1:15" x14ac:dyDescent="0.25">
      <c r="A30" t="s">
        <v>118</v>
      </c>
      <c r="B30" t="s">
        <v>101</v>
      </c>
      <c r="C30" t="s">
        <v>2</v>
      </c>
      <c r="D30" t="s">
        <v>35</v>
      </c>
      <c r="E30" t="s">
        <v>0</v>
      </c>
      <c r="F30" t="s">
        <v>102</v>
      </c>
      <c r="G30" t="s">
        <v>77</v>
      </c>
      <c r="H30" s="34">
        <v>-142625.6209224</v>
      </c>
      <c r="I30" s="34">
        <v>-137965.29999999999</v>
      </c>
      <c r="J30" s="34">
        <v>0</v>
      </c>
      <c r="K30" s="34">
        <v>-142625.6209224</v>
      </c>
      <c r="L30" s="34">
        <v>163437.15</v>
      </c>
      <c r="M30" s="34">
        <v>163437.15</v>
      </c>
      <c r="N30" s="34">
        <v>20811.529077599989</v>
      </c>
      <c r="O30" t="s">
        <v>50</v>
      </c>
    </row>
    <row r="31" spans="1:15" x14ac:dyDescent="0.25">
      <c r="A31" t="s">
        <v>103</v>
      </c>
      <c r="B31" t="s">
        <v>88</v>
      </c>
      <c r="C31" t="s">
        <v>2</v>
      </c>
      <c r="D31" t="s">
        <v>32</v>
      </c>
      <c r="E31" t="s">
        <v>0</v>
      </c>
      <c r="F31" t="s">
        <v>39</v>
      </c>
      <c r="G31" t="s">
        <v>91</v>
      </c>
      <c r="H31" s="34">
        <v>263979.01302894001</v>
      </c>
      <c r="I31" s="34">
        <v>168511.4</v>
      </c>
      <c r="J31" s="34">
        <v>168511.4</v>
      </c>
      <c r="K31" s="34">
        <v>95467.613028940017</v>
      </c>
      <c r="L31" s="34">
        <v>-284030.34999999998</v>
      </c>
      <c r="M31" s="34">
        <v>-115518.95</v>
      </c>
      <c r="N31" s="34">
        <v>-20051.336971059969</v>
      </c>
      <c r="O31" t="s">
        <v>50</v>
      </c>
    </row>
    <row r="32" spans="1:15" x14ac:dyDescent="0.25">
      <c r="A32" t="s">
        <v>104</v>
      </c>
      <c r="B32" t="s">
        <v>101</v>
      </c>
      <c r="C32" t="s">
        <v>2</v>
      </c>
      <c r="D32" t="s">
        <v>35</v>
      </c>
      <c r="E32" t="s">
        <v>0</v>
      </c>
      <c r="F32" t="s">
        <v>102</v>
      </c>
      <c r="G32" t="s">
        <v>91</v>
      </c>
      <c r="H32" s="34">
        <v>-262137.86482893999</v>
      </c>
      <c r="I32" s="34">
        <v>-238925.83</v>
      </c>
      <c r="J32" s="34">
        <v>-167248.07</v>
      </c>
      <c r="K32" s="34">
        <v>-94889.794828939979</v>
      </c>
      <c r="L32" s="34">
        <v>282189.2</v>
      </c>
      <c r="M32" s="34">
        <v>114941.12</v>
      </c>
      <c r="N32" s="34">
        <v>20051.335171060029</v>
      </c>
      <c r="O32" t="s">
        <v>50</v>
      </c>
    </row>
    <row r="33" spans="1:15" x14ac:dyDescent="0.25">
      <c r="A33" t="s">
        <v>121</v>
      </c>
      <c r="B33" t="s">
        <v>88</v>
      </c>
      <c r="C33" t="s">
        <v>2</v>
      </c>
      <c r="D33" t="s">
        <v>32</v>
      </c>
      <c r="E33" t="s">
        <v>0</v>
      </c>
      <c r="F33" t="s">
        <v>39</v>
      </c>
      <c r="G33" t="s">
        <v>77</v>
      </c>
      <c r="H33" s="34">
        <v>309401.01031046</v>
      </c>
      <c r="I33" s="34">
        <v>207038.2</v>
      </c>
      <c r="J33" s="34">
        <v>0</v>
      </c>
      <c r="K33" s="34">
        <v>309401.01031046</v>
      </c>
      <c r="L33" s="34">
        <v>-328933.5</v>
      </c>
      <c r="M33" s="34">
        <v>-328933.5</v>
      </c>
      <c r="N33" s="34">
        <v>-19532.489689540002</v>
      </c>
      <c r="O33" t="s">
        <v>50</v>
      </c>
    </row>
    <row r="34" spans="1:15" x14ac:dyDescent="0.25">
      <c r="A34" t="s">
        <v>82</v>
      </c>
      <c r="B34" t="s">
        <v>88</v>
      </c>
      <c r="C34" t="s">
        <v>4</v>
      </c>
      <c r="D34" t="s">
        <v>32</v>
      </c>
      <c r="E34" t="s">
        <v>0</v>
      </c>
      <c r="F34" t="s">
        <v>33</v>
      </c>
      <c r="G34" t="s">
        <v>80</v>
      </c>
      <c r="H34" s="34">
        <v>915843.50497754</v>
      </c>
      <c r="I34" s="34">
        <v>946204.73</v>
      </c>
      <c r="J34" s="34">
        <v>946204.73</v>
      </c>
      <c r="K34" s="34">
        <v>-30361.225022459981</v>
      </c>
      <c r="L34" s="34">
        <v>-934809.39</v>
      </c>
      <c r="M34" s="34">
        <v>30361.22</v>
      </c>
      <c r="N34" s="34">
        <v>-18965.885022460021</v>
      </c>
      <c r="O34" t="s">
        <v>50</v>
      </c>
    </row>
    <row r="35" spans="1:15" x14ac:dyDescent="0.25">
      <c r="A35" t="s">
        <v>83</v>
      </c>
      <c r="B35" t="s">
        <v>42</v>
      </c>
      <c r="C35" t="s">
        <v>4</v>
      </c>
      <c r="D35" t="s">
        <v>35</v>
      </c>
      <c r="E35" t="s">
        <v>0</v>
      </c>
      <c r="F35" t="s">
        <v>33</v>
      </c>
      <c r="G35" t="s">
        <v>80</v>
      </c>
      <c r="H35" s="34">
        <v>-909704.61537754</v>
      </c>
      <c r="I35" s="34">
        <v>-994639.98</v>
      </c>
      <c r="J35" s="34">
        <v>-944907.98</v>
      </c>
      <c r="K35" s="34">
        <v>35203.36462245998</v>
      </c>
      <c r="L35" s="34">
        <v>927722.21</v>
      </c>
      <c r="M35" s="34">
        <v>-35203.360000000001</v>
      </c>
      <c r="N35" s="34">
        <v>18017.594622459961</v>
      </c>
      <c r="O35" t="s">
        <v>50</v>
      </c>
    </row>
    <row r="36" spans="1:15" x14ac:dyDescent="0.25">
      <c r="A36" t="s">
        <v>51</v>
      </c>
      <c r="B36" t="s">
        <v>42</v>
      </c>
      <c r="C36" t="s">
        <v>4</v>
      </c>
      <c r="D36" t="s">
        <v>35</v>
      </c>
      <c r="E36" t="s">
        <v>0</v>
      </c>
      <c r="F36" t="s">
        <v>33</v>
      </c>
      <c r="G36" t="s">
        <v>36</v>
      </c>
      <c r="H36" s="34">
        <v>-1040315.01131816</v>
      </c>
      <c r="I36" s="34">
        <v>-1040315.01</v>
      </c>
      <c r="J36" s="34">
        <v>-1014576.68</v>
      </c>
      <c r="K36" s="34">
        <v>-25738.331318159941</v>
      </c>
      <c r="L36" s="34">
        <v>1057670.75</v>
      </c>
      <c r="M36" s="34">
        <v>25971.26</v>
      </c>
      <c r="N36" s="34">
        <v>17355.73868183955</v>
      </c>
      <c r="O36" t="s">
        <v>79</v>
      </c>
    </row>
    <row r="37" spans="1:15" x14ac:dyDescent="0.25">
      <c r="A37" t="s">
        <v>72</v>
      </c>
      <c r="B37" t="s">
        <v>68</v>
      </c>
      <c r="C37" t="s">
        <v>69</v>
      </c>
      <c r="D37" t="s">
        <v>35</v>
      </c>
      <c r="E37" t="s">
        <v>0</v>
      </c>
      <c r="F37" t="s">
        <v>70</v>
      </c>
      <c r="G37" t="s">
        <v>71</v>
      </c>
      <c r="H37" s="34">
        <v>-155309.31899999999</v>
      </c>
      <c r="I37" s="34">
        <v>-140940</v>
      </c>
      <c r="J37" s="34">
        <v>-124247.37</v>
      </c>
      <c r="K37" s="34">
        <v>-31061.94899999999</v>
      </c>
      <c r="L37" s="34">
        <v>138616.57999999999</v>
      </c>
      <c r="M37" s="34">
        <v>14369.21</v>
      </c>
      <c r="N37" s="34">
        <v>-16692.739000000001</v>
      </c>
      <c r="O37" t="s">
        <v>46</v>
      </c>
    </row>
    <row r="38" spans="1:15" x14ac:dyDescent="0.25">
      <c r="A38" t="s">
        <v>81</v>
      </c>
      <c r="B38" t="s">
        <v>41</v>
      </c>
      <c r="C38" t="s">
        <v>2</v>
      </c>
      <c r="D38" t="s">
        <v>35</v>
      </c>
      <c r="E38" t="s">
        <v>0</v>
      </c>
      <c r="F38" t="s">
        <v>39</v>
      </c>
      <c r="G38" t="s">
        <v>80</v>
      </c>
      <c r="H38" s="34">
        <v>-1808168.55760081</v>
      </c>
      <c r="I38" s="34">
        <v>-1457184.81</v>
      </c>
      <c r="J38" s="34">
        <v>-1457184.81</v>
      </c>
      <c r="K38" s="34">
        <v>-350983.7476008099</v>
      </c>
      <c r="L38" s="34">
        <v>1820090.27</v>
      </c>
      <c r="M38" s="34">
        <v>362749.13</v>
      </c>
      <c r="N38" s="34">
        <v>11921.712399190061</v>
      </c>
      <c r="O38" t="s">
        <v>50</v>
      </c>
    </row>
    <row r="39" spans="1:15" x14ac:dyDescent="0.25">
      <c r="A39" t="s">
        <v>139</v>
      </c>
      <c r="B39" t="s">
        <v>52</v>
      </c>
      <c r="C39" t="s">
        <v>53</v>
      </c>
      <c r="D39" t="s">
        <v>32</v>
      </c>
      <c r="E39" t="s">
        <v>0</v>
      </c>
      <c r="F39" t="s">
        <v>54</v>
      </c>
      <c r="G39" t="s">
        <v>91</v>
      </c>
      <c r="H39" s="34">
        <v>260767.30664996</v>
      </c>
      <c r="I39" s="34">
        <v>260767.31</v>
      </c>
      <c r="J39" s="34">
        <v>0</v>
      </c>
      <c r="K39" s="34">
        <v>260767.30664996</v>
      </c>
      <c r="L39" s="34">
        <v>-272181.78999999998</v>
      </c>
      <c r="M39" s="34">
        <v>-272181.78999999998</v>
      </c>
      <c r="N39" s="34">
        <v>-11414.48335003998</v>
      </c>
      <c r="O39" t="s">
        <v>50</v>
      </c>
    </row>
    <row r="40" spans="1:15" x14ac:dyDescent="0.25">
      <c r="A40" t="s">
        <v>115</v>
      </c>
      <c r="B40" t="s">
        <v>88</v>
      </c>
      <c r="C40" t="s">
        <v>2</v>
      </c>
      <c r="D40" t="s">
        <v>32</v>
      </c>
      <c r="E40" t="s">
        <v>0</v>
      </c>
      <c r="F40" t="s">
        <v>39</v>
      </c>
      <c r="G40" t="s">
        <v>77</v>
      </c>
      <c r="H40" s="34">
        <v>153159.53792470999</v>
      </c>
      <c r="I40" s="34">
        <v>105964.67</v>
      </c>
      <c r="J40" s="34">
        <v>0</v>
      </c>
      <c r="K40" s="34">
        <v>153159.53792470999</v>
      </c>
      <c r="L40" s="34">
        <v>-164466.75</v>
      </c>
      <c r="M40" s="34">
        <v>-164466.75</v>
      </c>
      <c r="N40" s="34">
        <v>-11307.21207529001</v>
      </c>
      <c r="O40" t="s">
        <v>50</v>
      </c>
    </row>
    <row r="41" spans="1:15" x14ac:dyDescent="0.25">
      <c r="A41" t="s">
        <v>43</v>
      </c>
      <c r="B41" t="s">
        <v>42</v>
      </c>
      <c r="C41" t="s">
        <v>4</v>
      </c>
      <c r="D41" t="s">
        <v>35</v>
      </c>
      <c r="E41" t="s">
        <v>0</v>
      </c>
      <c r="F41" t="s">
        <v>33</v>
      </c>
      <c r="G41" t="s">
        <v>34</v>
      </c>
      <c r="H41" s="34">
        <v>-579469.65717984992</v>
      </c>
      <c r="I41" s="34">
        <v>-579469.66</v>
      </c>
      <c r="J41" s="34">
        <v>-527511.97</v>
      </c>
      <c r="K41" s="34">
        <v>-51957.687179849949</v>
      </c>
      <c r="L41" s="34">
        <v>589908.58999999985</v>
      </c>
      <c r="M41" s="34">
        <v>52149.72</v>
      </c>
      <c r="N41" s="34">
        <v>10438.93282014993</v>
      </c>
      <c r="O41" t="s">
        <v>79</v>
      </c>
    </row>
    <row r="42" spans="1:15" x14ac:dyDescent="0.25">
      <c r="A42" t="s">
        <v>117</v>
      </c>
      <c r="B42" t="s">
        <v>88</v>
      </c>
      <c r="C42" t="s">
        <v>2</v>
      </c>
      <c r="D42" t="s">
        <v>32</v>
      </c>
      <c r="E42" t="s">
        <v>0</v>
      </c>
      <c r="F42" t="s">
        <v>39</v>
      </c>
      <c r="G42" t="s">
        <v>77</v>
      </c>
      <c r="H42" s="34">
        <v>154859.65257999001</v>
      </c>
      <c r="I42" s="34">
        <v>103630.61</v>
      </c>
      <c r="J42" s="34">
        <v>0</v>
      </c>
      <c r="K42" s="34">
        <v>154859.65257999001</v>
      </c>
      <c r="L42" s="34">
        <v>-164466.75</v>
      </c>
      <c r="M42" s="34">
        <v>-164466.75</v>
      </c>
      <c r="N42" s="34">
        <v>-9607.0974200099881</v>
      </c>
      <c r="O42" t="s">
        <v>50</v>
      </c>
    </row>
    <row r="43" spans="1:15" x14ac:dyDescent="0.25">
      <c r="A43" t="s">
        <v>74</v>
      </c>
      <c r="B43" t="s">
        <v>88</v>
      </c>
      <c r="C43" t="s">
        <v>4</v>
      </c>
      <c r="D43" t="s">
        <v>32</v>
      </c>
      <c r="E43" t="s">
        <v>0</v>
      </c>
      <c r="F43" t="s">
        <v>33</v>
      </c>
      <c r="G43" t="s">
        <v>73</v>
      </c>
      <c r="H43" s="34">
        <v>1369689.45</v>
      </c>
      <c r="I43" s="34">
        <v>1369689.45</v>
      </c>
      <c r="J43" s="34">
        <v>1369689.45</v>
      </c>
      <c r="K43" s="34">
        <v>0</v>
      </c>
      <c r="L43" s="34">
        <v>-1363173.86</v>
      </c>
      <c r="M43" s="34">
        <v>42275.58</v>
      </c>
      <c r="N43" s="34">
        <v>6515.5900000000838</v>
      </c>
      <c r="O43" t="s">
        <v>137</v>
      </c>
    </row>
    <row r="44" spans="1:15" x14ac:dyDescent="0.25">
      <c r="A44" t="s">
        <v>84</v>
      </c>
      <c r="B44" t="s">
        <v>88</v>
      </c>
      <c r="C44" t="s">
        <v>4</v>
      </c>
      <c r="D44" t="s">
        <v>32</v>
      </c>
      <c r="E44" t="s">
        <v>0</v>
      </c>
      <c r="F44" t="s">
        <v>33</v>
      </c>
      <c r="G44" t="s">
        <v>80</v>
      </c>
      <c r="H44" s="34">
        <v>340915.37804307998</v>
      </c>
      <c r="I44" s="34">
        <v>315607.71000000002</v>
      </c>
      <c r="J44" s="34">
        <v>315607.71000000002</v>
      </c>
      <c r="K44" s="34">
        <v>25307.668043079961</v>
      </c>
      <c r="L44" s="34">
        <v>-346554.65</v>
      </c>
      <c r="M44" s="34">
        <v>-25307.66</v>
      </c>
      <c r="N44" s="34">
        <v>-5639.2719569200417</v>
      </c>
      <c r="O44" t="s">
        <v>50</v>
      </c>
    </row>
    <row r="45" spans="1:15" x14ac:dyDescent="0.25">
      <c r="A45" t="s">
        <v>107</v>
      </c>
      <c r="B45" t="s">
        <v>101</v>
      </c>
      <c r="C45" t="s">
        <v>2</v>
      </c>
      <c r="D45" t="s">
        <v>35</v>
      </c>
      <c r="E45" t="s">
        <v>0</v>
      </c>
      <c r="F45" t="s">
        <v>102</v>
      </c>
      <c r="G45" t="s">
        <v>91</v>
      </c>
      <c r="H45" s="34">
        <v>-88781.785341499999</v>
      </c>
      <c r="I45" s="34">
        <v>-80871.929999999993</v>
      </c>
      <c r="J45" s="34">
        <v>-56610.35</v>
      </c>
      <c r="K45" s="34">
        <v>-32171.435341500001</v>
      </c>
      <c r="L45" s="34">
        <v>94272.21</v>
      </c>
      <c r="M45" s="34">
        <v>37661.86</v>
      </c>
      <c r="N45" s="34">
        <v>5490.4246585000074</v>
      </c>
      <c r="O45" t="s">
        <v>50</v>
      </c>
    </row>
    <row r="46" spans="1:15" x14ac:dyDescent="0.25">
      <c r="A46" t="s">
        <v>108</v>
      </c>
      <c r="B46" t="s">
        <v>88</v>
      </c>
      <c r="C46" t="s">
        <v>2</v>
      </c>
      <c r="D46" t="s">
        <v>32</v>
      </c>
      <c r="E46" t="s">
        <v>0</v>
      </c>
      <c r="F46" t="s">
        <v>39</v>
      </c>
      <c r="G46" t="s">
        <v>91</v>
      </c>
      <c r="H46" s="34">
        <v>89396.8659415</v>
      </c>
      <c r="I46" s="34">
        <v>57038.18</v>
      </c>
      <c r="J46" s="34">
        <v>57038.18</v>
      </c>
      <c r="K46" s="34">
        <v>32358.6859415</v>
      </c>
      <c r="L46" s="34">
        <v>-94887.290000000008</v>
      </c>
      <c r="M46" s="34">
        <v>-37849.11</v>
      </c>
      <c r="N46" s="34">
        <v>-5490.424058500008</v>
      </c>
      <c r="O46" t="s">
        <v>50</v>
      </c>
    </row>
    <row r="47" spans="1:15" x14ac:dyDescent="0.25">
      <c r="A47" t="s">
        <v>85</v>
      </c>
      <c r="B47" t="s">
        <v>42</v>
      </c>
      <c r="C47" t="s">
        <v>4</v>
      </c>
      <c r="D47" t="s">
        <v>35</v>
      </c>
      <c r="E47" t="s">
        <v>0</v>
      </c>
      <c r="F47" t="s">
        <v>33</v>
      </c>
      <c r="G47" t="s">
        <v>80</v>
      </c>
      <c r="H47" s="34">
        <v>-338867.18404308002</v>
      </c>
      <c r="I47" s="34">
        <v>-330617.07</v>
      </c>
      <c r="J47" s="34">
        <v>-314086.21000000002</v>
      </c>
      <c r="K47" s="34">
        <v>-24780.974043080001</v>
      </c>
      <c r="L47" s="34">
        <v>344224.5</v>
      </c>
      <c r="M47" s="34">
        <v>24780.97</v>
      </c>
      <c r="N47" s="34">
        <v>5357.3159569199779</v>
      </c>
      <c r="O47" t="s">
        <v>50</v>
      </c>
    </row>
    <row r="48" spans="1:15" x14ac:dyDescent="0.25">
      <c r="A48" t="s">
        <v>119</v>
      </c>
      <c r="B48" t="s">
        <v>88</v>
      </c>
      <c r="C48" t="s">
        <v>4</v>
      </c>
      <c r="D48" t="s">
        <v>32</v>
      </c>
      <c r="E48" t="s">
        <v>0</v>
      </c>
      <c r="F48" t="s">
        <v>33</v>
      </c>
      <c r="G48" t="s">
        <v>91</v>
      </c>
      <c r="H48" s="34">
        <v>94625.699234999993</v>
      </c>
      <c r="I48" s="34">
        <v>86218.31</v>
      </c>
      <c r="J48" s="34">
        <v>0</v>
      </c>
      <c r="K48" s="34">
        <v>94625.699234999993</v>
      </c>
      <c r="L48" s="34">
        <v>-91836.25</v>
      </c>
      <c r="M48" s="34">
        <v>-91836.25</v>
      </c>
      <c r="N48" s="34">
        <v>2789.4492349999932</v>
      </c>
      <c r="O48" t="s">
        <v>50</v>
      </c>
    </row>
    <row r="49" spans="1:15" x14ac:dyDescent="0.25">
      <c r="A49" t="s">
        <v>120</v>
      </c>
      <c r="B49" t="s">
        <v>40</v>
      </c>
      <c r="C49" t="s">
        <v>4</v>
      </c>
      <c r="D49" t="s">
        <v>35</v>
      </c>
      <c r="E49" t="s">
        <v>0</v>
      </c>
      <c r="F49" t="s">
        <v>33</v>
      </c>
      <c r="G49" t="s">
        <v>91</v>
      </c>
      <c r="H49" s="34">
        <v>-93990.881634999998</v>
      </c>
      <c r="I49" s="34">
        <v>-85205.759999999995</v>
      </c>
      <c r="J49" s="34">
        <v>-85205.759999999995</v>
      </c>
      <c r="K49" s="34">
        <v>-8785.1216350000032</v>
      </c>
      <c r="L49" s="34">
        <v>91220.150000000009</v>
      </c>
      <c r="M49" s="34">
        <v>9336.11</v>
      </c>
      <c r="N49" s="34">
        <v>-2770.7316349999892</v>
      </c>
      <c r="O49" t="s">
        <v>50</v>
      </c>
    </row>
    <row r="50" spans="1:15" x14ac:dyDescent="0.25">
      <c r="A50" t="s">
        <v>87</v>
      </c>
      <c r="B50" t="s">
        <v>88</v>
      </c>
      <c r="C50" t="s">
        <v>4</v>
      </c>
      <c r="D50" t="s">
        <v>32</v>
      </c>
      <c r="E50" t="s">
        <v>0</v>
      </c>
      <c r="F50" t="s">
        <v>33</v>
      </c>
      <c r="G50" t="s">
        <v>75</v>
      </c>
      <c r="H50" s="34">
        <v>56218.420337479998</v>
      </c>
      <c r="I50" s="34">
        <v>56218.42</v>
      </c>
      <c r="J50" s="34">
        <v>56218.42</v>
      </c>
      <c r="K50" s="34">
        <v>3.374799998709932E-4</v>
      </c>
      <c r="L50" s="34">
        <v>-54001.11</v>
      </c>
      <c r="M50" s="34">
        <v>42.050000000000182</v>
      </c>
      <c r="N50" s="34">
        <v>2217.310337479998</v>
      </c>
      <c r="O50" t="s">
        <v>79</v>
      </c>
    </row>
    <row r="51" spans="1:15" x14ac:dyDescent="0.25">
      <c r="A51" t="s">
        <v>105</v>
      </c>
      <c r="B51" t="s">
        <v>88</v>
      </c>
      <c r="C51" t="s">
        <v>2</v>
      </c>
      <c r="D51" t="s">
        <v>32</v>
      </c>
      <c r="E51" t="s">
        <v>0</v>
      </c>
      <c r="F51" t="s">
        <v>39</v>
      </c>
      <c r="G51" t="s">
        <v>91</v>
      </c>
      <c r="H51" s="34">
        <v>124081.67401258</v>
      </c>
      <c r="I51" s="34">
        <v>74502.73</v>
      </c>
      <c r="J51" s="34">
        <v>74502.73</v>
      </c>
      <c r="K51" s="34">
        <v>49578.944012580003</v>
      </c>
      <c r="L51" s="34">
        <v>-126278.46</v>
      </c>
      <c r="M51" s="34">
        <v>-51775.73</v>
      </c>
      <c r="N51" s="34">
        <v>-2196.7859874200221</v>
      </c>
      <c r="O51" t="s">
        <v>50</v>
      </c>
    </row>
    <row r="52" spans="1:15" x14ac:dyDescent="0.25">
      <c r="A52" t="s">
        <v>106</v>
      </c>
      <c r="B52" t="s">
        <v>101</v>
      </c>
      <c r="C52" t="s">
        <v>2</v>
      </c>
      <c r="D52" t="s">
        <v>35</v>
      </c>
      <c r="E52" t="s">
        <v>0</v>
      </c>
      <c r="F52" t="s">
        <v>102</v>
      </c>
      <c r="G52" t="s">
        <v>91</v>
      </c>
      <c r="H52" s="34">
        <v>-123263.10881258</v>
      </c>
      <c r="I52" s="34">
        <v>-105634.55</v>
      </c>
      <c r="J52" s="34">
        <v>-73944.19</v>
      </c>
      <c r="K52" s="34">
        <v>-49318.918812579999</v>
      </c>
      <c r="L52" s="34">
        <v>125459.89</v>
      </c>
      <c r="M52" s="34">
        <v>51515.7</v>
      </c>
      <c r="N52" s="34">
        <v>2196.781187420027</v>
      </c>
      <c r="O52" t="s">
        <v>50</v>
      </c>
    </row>
    <row r="53" spans="1:15" x14ac:dyDescent="0.25">
      <c r="A53" t="s">
        <v>128</v>
      </c>
      <c r="B53" t="s">
        <v>45</v>
      </c>
      <c r="C53" t="s">
        <v>2</v>
      </c>
      <c r="D53" t="s">
        <v>35</v>
      </c>
      <c r="E53" t="s">
        <v>0</v>
      </c>
      <c r="F53" t="s">
        <v>39</v>
      </c>
      <c r="G53" t="s">
        <v>91</v>
      </c>
      <c r="H53" s="34">
        <v>-2470885.8818065301</v>
      </c>
      <c r="I53" s="34">
        <v>-2470935.4500000002</v>
      </c>
      <c r="J53" s="34">
        <v>-2470935.4500000002</v>
      </c>
      <c r="K53" s="34">
        <v>49.568193470127881</v>
      </c>
      <c r="L53" s="34">
        <v>2469868.2999999998</v>
      </c>
      <c r="M53" s="34">
        <v>-1067.1500000000231</v>
      </c>
      <c r="N53" s="34">
        <v>-1017.581806530245</v>
      </c>
      <c r="O53" t="s">
        <v>50</v>
      </c>
    </row>
    <row r="54" spans="1:15" x14ac:dyDescent="0.25">
      <c r="A54" t="s">
        <v>44</v>
      </c>
      <c r="B54" t="s">
        <v>42</v>
      </c>
      <c r="C54" t="s">
        <v>4</v>
      </c>
      <c r="D54" t="s">
        <v>35</v>
      </c>
      <c r="E54" t="s">
        <v>0</v>
      </c>
      <c r="F54" t="s">
        <v>33</v>
      </c>
      <c r="G54" t="s">
        <v>34</v>
      </c>
      <c r="H54" s="34">
        <v>-338804.51249950001</v>
      </c>
      <c r="I54" s="34">
        <v>-338804.51</v>
      </c>
      <c r="J54" s="34">
        <v>-338804.51</v>
      </c>
      <c r="K54" s="34">
        <v>-2.4994999985210602E-3</v>
      </c>
      <c r="L54" s="34">
        <v>338246</v>
      </c>
      <c r="M54" s="34">
        <v>-6733.03</v>
      </c>
      <c r="N54" s="34">
        <v>-558.51249950000783</v>
      </c>
      <c r="O54" t="s">
        <v>79</v>
      </c>
    </row>
    <row r="55" spans="1:15" x14ac:dyDescent="0.25">
      <c r="A55" t="s">
        <v>58</v>
      </c>
      <c r="B55" t="s">
        <v>42</v>
      </c>
      <c r="C55" t="s">
        <v>4</v>
      </c>
      <c r="D55" t="s">
        <v>35</v>
      </c>
      <c r="E55" t="s">
        <v>0</v>
      </c>
      <c r="F55" t="s">
        <v>33</v>
      </c>
      <c r="G55" t="s">
        <v>56</v>
      </c>
      <c r="H55" s="34">
        <v>-776947.64438000997</v>
      </c>
      <c r="I55" s="34">
        <v>-783952.78</v>
      </c>
      <c r="J55" s="34">
        <v>-744755.14</v>
      </c>
      <c r="K55" s="34">
        <v>-32192.504380009948</v>
      </c>
      <c r="L55" s="34">
        <v>776502.11</v>
      </c>
      <c r="M55" s="34">
        <v>19941.98</v>
      </c>
      <c r="N55" s="34">
        <v>-445.53438000997988</v>
      </c>
      <c r="O55" t="s">
        <v>50</v>
      </c>
    </row>
    <row r="56" spans="1:15" x14ac:dyDescent="0.25">
      <c r="A56" t="s">
        <v>86</v>
      </c>
      <c r="B56" t="s">
        <v>41</v>
      </c>
      <c r="C56" t="s">
        <v>2</v>
      </c>
      <c r="D56" t="s">
        <v>35</v>
      </c>
      <c r="E56" t="s">
        <v>0</v>
      </c>
      <c r="F56" t="s">
        <v>39</v>
      </c>
      <c r="G56" t="s">
        <v>80</v>
      </c>
      <c r="H56" s="34">
        <v>-167025.96150949001</v>
      </c>
      <c r="I56" s="34">
        <v>-134877.15</v>
      </c>
      <c r="J56" s="34">
        <v>-134877.15</v>
      </c>
      <c r="K56" s="34">
        <v>-32148.811509490009</v>
      </c>
      <c r="L56" s="34">
        <v>167449.04999999999</v>
      </c>
      <c r="M56" s="34">
        <v>32571.9</v>
      </c>
      <c r="N56" s="34">
        <v>423.08849050995201</v>
      </c>
      <c r="O56" t="s">
        <v>50</v>
      </c>
    </row>
    <row r="57" spans="1:15" x14ac:dyDescent="0.25">
      <c r="A57" t="s">
        <v>92</v>
      </c>
      <c r="B57" t="s">
        <v>61</v>
      </c>
      <c r="C57" t="s">
        <v>2</v>
      </c>
      <c r="D57" t="s">
        <v>32</v>
      </c>
      <c r="E57" t="s">
        <v>0</v>
      </c>
      <c r="F57" t="s">
        <v>39</v>
      </c>
      <c r="G57" t="s">
        <v>91</v>
      </c>
      <c r="H57" s="34">
        <v>2424581.8320339601</v>
      </c>
      <c r="I57" s="34">
        <v>2424581.83</v>
      </c>
      <c r="J57" s="34">
        <v>2424581.83</v>
      </c>
      <c r="K57" s="34">
        <v>2.0339600741863251E-3</v>
      </c>
      <c r="L57" s="34">
        <v>-2424581.8399999989</v>
      </c>
      <c r="M57" s="34">
        <v>577131.36</v>
      </c>
      <c r="N57" s="34">
        <v>-7.9660392366349697E-3</v>
      </c>
      <c r="O57" t="s">
        <v>50</v>
      </c>
    </row>
    <row r="58" spans="1:15" x14ac:dyDescent="0.25">
      <c r="A58" t="s">
        <v>62</v>
      </c>
      <c r="B58" t="s">
        <v>42</v>
      </c>
      <c r="C58" t="s">
        <v>4</v>
      </c>
      <c r="D58" t="s">
        <v>35</v>
      </c>
      <c r="E58" t="s">
        <v>0</v>
      </c>
      <c r="F58" t="s">
        <v>33</v>
      </c>
      <c r="G58" t="s">
        <v>60</v>
      </c>
      <c r="H58" s="34">
        <v>-822029.96479833999</v>
      </c>
      <c r="I58" s="34">
        <v>-973560.06</v>
      </c>
      <c r="J58" s="34">
        <v>-924882.06</v>
      </c>
      <c r="K58" s="34">
        <v>102852.09520166009</v>
      </c>
      <c r="L58" s="34">
        <v>822029.97000000137</v>
      </c>
      <c r="M58" s="34">
        <v>-117395.38</v>
      </c>
      <c r="N58" s="34">
        <v>5.2016613772138953E-3</v>
      </c>
      <c r="O58" t="s">
        <v>131</v>
      </c>
    </row>
    <row r="59" spans="1:15" x14ac:dyDescent="0.25">
      <c r="A59" t="s">
        <v>64</v>
      </c>
      <c r="B59" t="s">
        <v>88</v>
      </c>
      <c r="C59" t="s">
        <v>4</v>
      </c>
      <c r="D59" t="s">
        <v>32</v>
      </c>
      <c r="E59" t="s">
        <v>0</v>
      </c>
      <c r="F59" t="s">
        <v>33</v>
      </c>
      <c r="G59" t="s">
        <v>60</v>
      </c>
      <c r="H59" s="34">
        <v>827363.48559834005</v>
      </c>
      <c r="I59" s="34">
        <v>928873.86</v>
      </c>
      <c r="J59" s="34">
        <v>928873.86</v>
      </c>
      <c r="K59" s="34">
        <v>-101510.37440165989</v>
      </c>
      <c r="L59" s="34">
        <v>-827363.48999999848</v>
      </c>
      <c r="M59" s="34">
        <v>116053.66</v>
      </c>
      <c r="N59" s="34">
        <v>-4.4016584288328886E-3</v>
      </c>
      <c r="O59" t="s">
        <v>132</v>
      </c>
    </row>
    <row r="60" spans="1:15" x14ac:dyDescent="0.25">
      <c r="A60" t="s">
        <v>59</v>
      </c>
      <c r="B60" t="s">
        <v>42</v>
      </c>
      <c r="C60" t="s">
        <v>4</v>
      </c>
      <c r="D60" t="s">
        <v>35</v>
      </c>
      <c r="E60" t="s">
        <v>0</v>
      </c>
      <c r="F60" t="s">
        <v>33</v>
      </c>
      <c r="G60" t="s">
        <v>56</v>
      </c>
      <c r="H60" s="34">
        <v>-806311.01607957995</v>
      </c>
      <c r="I60" s="34">
        <v>-818463.47</v>
      </c>
      <c r="J60" s="34">
        <v>-777540.3</v>
      </c>
      <c r="K60" s="34">
        <v>-28770.716079579899</v>
      </c>
      <c r="L60" s="34">
        <v>806311.0199999999</v>
      </c>
      <c r="M60" s="34">
        <v>17306.2</v>
      </c>
      <c r="N60" s="34">
        <v>3.9204199565574527E-3</v>
      </c>
      <c r="O60" t="s">
        <v>133</v>
      </c>
    </row>
    <row r="61" spans="1:15" x14ac:dyDescent="0.25">
      <c r="A61" t="s">
        <v>90</v>
      </c>
      <c r="B61" t="s">
        <v>38</v>
      </c>
      <c r="C61" t="s">
        <v>5</v>
      </c>
      <c r="D61" t="s">
        <v>32</v>
      </c>
      <c r="E61" t="s">
        <v>0</v>
      </c>
      <c r="F61" t="s">
        <v>70</v>
      </c>
      <c r="G61" t="s">
        <v>91</v>
      </c>
      <c r="H61" s="34">
        <v>1461856.1310928499</v>
      </c>
      <c r="I61" s="34">
        <v>1313097.3400000001</v>
      </c>
      <c r="J61" s="34">
        <v>0</v>
      </c>
      <c r="K61" s="34">
        <v>1461856.1310928499</v>
      </c>
      <c r="L61" s="34">
        <v>-1461856.1348999999</v>
      </c>
      <c r="M61" s="34">
        <v>-282768.52</v>
      </c>
      <c r="N61" s="34">
        <v>-3.8071500603109598E-3</v>
      </c>
      <c r="O61" t="s">
        <v>50</v>
      </c>
    </row>
    <row r="62" spans="1:15" x14ac:dyDescent="0.25">
      <c r="A62" t="s">
        <v>63</v>
      </c>
      <c r="B62" t="s">
        <v>42</v>
      </c>
      <c r="C62" t="s">
        <v>4</v>
      </c>
      <c r="D62" t="s">
        <v>35</v>
      </c>
      <c r="E62" t="s">
        <v>0</v>
      </c>
      <c r="F62" t="s">
        <v>33</v>
      </c>
      <c r="G62" t="s">
        <v>60</v>
      </c>
      <c r="H62" s="34">
        <v>-366870.69367661001</v>
      </c>
      <c r="I62" s="34">
        <v>-404155.7</v>
      </c>
      <c r="J62" s="34">
        <v>-383947.92</v>
      </c>
      <c r="K62" s="34">
        <v>17077.226323389968</v>
      </c>
      <c r="L62" s="34">
        <v>366870.68999999709</v>
      </c>
      <c r="M62" s="34">
        <v>-25941.439999999999</v>
      </c>
      <c r="N62" s="34">
        <v>-3.6766129196621482E-3</v>
      </c>
      <c r="O62" t="s">
        <v>134</v>
      </c>
    </row>
    <row r="63" spans="1:15" x14ac:dyDescent="0.25">
      <c r="A63" t="s">
        <v>123</v>
      </c>
      <c r="B63" t="s">
        <v>88</v>
      </c>
      <c r="C63" t="s">
        <v>4</v>
      </c>
      <c r="D63" t="s">
        <v>32</v>
      </c>
      <c r="E63" t="s">
        <v>0</v>
      </c>
      <c r="F63" t="s">
        <v>33</v>
      </c>
      <c r="G63" t="s">
        <v>80</v>
      </c>
      <c r="H63" s="34">
        <v>57262.706528540002</v>
      </c>
      <c r="I63" s="34">
        <v>57262.71</v>
      </c>
      <c r="J63" s="34">
        <v>57262.71</v>
      </c>
      <c r="K63" s="34">
        <v>-3.471459996944759E-3</v>
      </c>
      <c r="L63" s="34">
        <v>-57262.71</v>
      </c>
      <c r="M63" s="34">
        <v>-2206.6900000000019</v>
      </c>
      <c r="N63" s="34">
        <v>-3.471459996944759E-3</v>
      </c>
      <c r="O63" t="s">
        <v>50</v>
      </c>
    </row>
    <row r="64" spans="1:15" x14ac:dyDescent="0.25">
      <c r="A64" t="s">
        <v>124</v>
      </c>
      <c r="B64" t="s">
        <v>40</v>
      </c>
      <c r="C64" t="s">
        <v>4</v>
      </c>
      <c r="D64" t="s">
        <v>35</v>
      </c>
      <c r="E64" t="s">
        <v>0</v>
      </c>
      <c r="F64" t="s">
        <v>33</v>
      </c>
      <c r="G64" t="s">
        <v>80</v>
      </c>
      <c r="H64" s="34">
        <v>-56844.30656854</v>
      </c>
      <c r="I64" s="34">
        <v>-56857.78</v>
      </c>
      <c r="J64" s="34">
        <v>-56857.78</v>
      </c>
      <c r="K64" s="34">
        <v>13.473431459999119</v>
      </c>
      <c r="L64" s="34">
        <v>56844.31</v>
      </c>
      <c r="M64" s="34">
        <v>2186.0599999999981</v>
      </c>
      <c r="N64" s="34">
        <v>3.431459997955244E-3</v>
      </c>
      <c r="O64" t="s">
        <v>50</v>
      </c>
    </row>
    <row r="65" spans="1:15" x14ac:dyDescent="0.25">
      <c r="A65" t="s">
        <v>125</v>
      </c>
      <c r="B65" t="s">
        <v>61</v>
      </c>
      <c r="C65" t="s">
        <v>2</v>
      </c>
      <c r="D65" t="s">
        <v>32</v>
      </c>
      <c r="E65" t="s">
        <v>0</v>
      </c>
      <c r="F65" t="s">
        <v>102</v>
      </c>
      <c r="G65" t="s">
        <v>71</v>
      </c>
      <c r="H65" s="34">
        <v>13002.53674523</v>
      </c>
      <c r="I65" s="34">
        <v>13002.54</v>
      </c>
      <c r="J65" s="34">
        <v>0</v>
      </c>
      <c r="K65" s="34">
        <v>13002.53674523</v>
      </c>
      <c r="L65" s="34">
        <v>-13002.54</v>
      </c>
      <c r="M65" s="34">
        <v>-13002.54</v>
      </c>
      <c r="N65" s="34">
        <v>-3.2547699993301649E-3</v>
      </c>
      <c r="O65" t="s">
        <v>50</v>
      </c>
    </row>
    <row r="66" spans="1:15" x14ac:dyDescent="0.25">
      <c r="A66" t="s">
        <v>37</v>
      </c>
      <c r="B66" t="s">
        <v>38</v>
      </c>
      <c r="C66" t="s">
        <v>3</v>
      </c>
      <c r="D66" t="s">
        <v>32</v>
      </c>
      <c r="E66" t="s">
        <v>0</v>
      </c>
      <c r="F66" t="s">
        <v>39</v>
      </c>
      <c r="G66" t="s">
        <v>55</v>
      </c>
      <c r="H66" s="34">
        <v>593815.06718372996</v>
      </c>
      <c r="I66" s="34">
        <v>593815.06999999995</v>
      </c>
      <c r="J66" s="34">
        <v>592527.12</v>
      </c>
      <c r="K66" s="34">
        <v>1287.9471837299641</v>
      </c>
      <c r="L66" s="34">
        <v>-593815.07039999973</v>
      </c>
      <c r="M66" s="34">
        <v>-11218.94</v>
      </c>
      <c r="N66" s="34">
        <v>-3.216269775293767E-3</v>
      </c>
      <c r="O66" t="s">
        <v>135</v>
      </c>
    </row>
    <row r="67" spans="1:15" x14ac:dyDescent="0.25">
      <c r="A67" t="s">
        <v>65</v>
      </c>
      <c r="B67" t="s">
        <v>88</v>
      </c>
      <c r="C67" t="s">
        <v>4</v>
      </c>
      <c r="D67" t="s">
        <v>32</v>
      </c>
      <c r="E67" t="s">
        <v>0</v>
      </c>
      <c r="F67" t="s">
        <v>33</v>
      </c>
      <c r="G67" t="s">
        <v>60</v>
      </c>
      <c r="H67" s="34">
        <v>369089.55267661001</v>
      </c>
      <c r="I67" s="34">
        <v>385387.78</v>
      </c>
      <c r="J67" s="34">
        <v>385387.78</v>
      </c>
      <c r="K67" s="34">
        <v>-16298.22732339002</v>
      </c>
      <c r="L67" s="34">
        <v>-369089.54999999842</v>
      </c>
      <c r="M67" s="34">
        <v>25162.44</v>
      </c>
      <c r="N67" s="34">
        <v>2.6766116498038168E-3</v>
      </c>
      <c r="O67" t="s">
        <v>136</v>
      </c>
    </row>
    <row r="68" spans="1:15" x14ac:dyDescent="0.25">
      <c r="A68" t="s">
        <v>126</v>
      </c>
      <c r="B68" t="s">
        <v>127</v>
      </c>
      <c r="C68" t="s">
        <v>2</v>
      </c>
      <c r="D68" t="s">
        <v>35</v>
      </c>
      <c r="E68" t="s">
        <v>0</v>
      </c>
      <c r="F68" t="s">
        <v>102</v>
      </c>
      <c r="G68" t="s">
        <v>71</v>
      </c>
      <c r="H68" s="34">
        <v>-53013.46265786</v>
      </c>
      <c r="I68" s="34">
        <v>-45070.080000000002</v>
      </c>
      <c r="J68" s="34">
        <v>-45070.080000000002</v>
      </c>
      <c r="K68" s="34">
        <v>-7943.3826578599983</v>
      </c>
      <c r="L68" s="34">
        <v>53013.460000000006</v>
      </c>
      <c r="M68" s="34">
        <v>7943.38</v>
      </c>
      <c r="N68" s="34">
        <v>-2.6578599936328828E-3</v>
      </c>
      <c r="O68" t="s">
        <v>50</v>
      </c>
    </row>
    <row r="69" spans="1:15" x14ac:dyDescent="0.25">
      <c r="A69" t="s">
        <v>129</v>
      </c>
      <c r="B69" t="s">
        <v>61</v>
      </c>
      <c r="C69" t="s">
        <v>2</v>
      </c>
      <c r="D69" t="s">
        <v>32</v>
      </c>
      <c r="E69" t="s">
        <v>0</v>
      </c>
      <c r="F69" t="s">
        <v>39</v>
      </c>
      <c r="G69" t="s">
        <v>91</v>
      </c>
      <c r="H69" s="34">
        <v>675296.58883466001</v>
      </c>
      <c r="I69" s="34">
        <v>675296.59</v>
      </c>
      <c r="J69" s="34">
        <v>675296.59</v>
      </c>
      <c r="K69" s="34">
        <v>-1.1653399560600519E-3</v>
      </c>
      <c r="L69" s="34">
        <v>-675296.59000000008</v>
      </c>
      <c r="M69" s="34">
        <v>-577131.37</v>
      </c>
      <c r="N69" s="34">
        <v>-1.165340072475374E-3</v>
      </c>
      <c r="O69" t="s">
        <v>50</v>
      </c>
    </row>
    <row r="70" spans="1:15" x14ac:dyDescent="0.25">
      <c r="A70" t="s">
        <v>130</v>
      </c>
      <c r="B70" t="s">
        <v>127</v>
      </c>
      <c r="C70" t="s">
        <v>2</v>
      </c>
      <c r="D70" t="s">
        <v>35</v>
      </c>
      <c r="E70" t="s">
        <v>0</v>
      </c>
      <c r="F70" t="s">
        <v>102</v>
      </c>
      <c r="G70" t="s">
        <v>71</v>
      </c>
      <c r="H70" s="34">
        <v>-12474.07048808</v>
      </c>
      <c r="I70" s="34">
        <v>-11048.56</v>
      </c>
      <c r="J70" s="34">
        <v>-11048.56</v>
      </c>
      <c r="K70" s="34">
        <v>-1425.5104880800011</v>
      </c>
      <c r="L70" s="34">
        <v>12474.07</v>
      </c>
      <c r="M70" s="34">
        <v>1425.51</v>
      </c>
      <c r="N70" s="34">
        <v>-4.880800024693599E-4</v>
      </c>
      <c r="O70" t="s">
        <v>50</v>
      </c>
    </row>
    <row r="71" spans="1:15" x14ac:dyDescent="0.25">
      <c r="A71" t="s">
        <v>97</v>
      </c>
      <c r="L71">
        <v>0</v>
      </c>
      <c r="M71">
        <v>149528.72</v>
      </c>
      <c r="O71" t="s">
        <v>138</v>
      </c>
    </row>
    <row r="72" spans="1:15" x14ac:dyDescent="0.25">
      <c r="A72" t="s">
        <v>98</v>
      </c>
      <c r="L72">
        <v>0</v>
      </c>
      <c r="M72">
        <v>126989.85</v>
      </c>
      <c r="O72" t="s">
        <v>138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d="http://www.w3.org/2001/XMLSchema" xmlns:xsi="http://www.w3.org/2001/XMLSchema-instance" xmlns="http://www.boldonjames.com/2008/01/sie/internal/label" sislVersion="0" policy="d496ab6f-82d7-47fa-ba56-55fc2c510ab4" origin="defaultValue">
  <element uid="8f417aed-8f16-42c8-8249-136a73112f72" value=""/>
</sisl>
</file>

<file path=customXml/itemProps1.xml><?xml version="1.0" encoding="utf-8"?>
<ds:datastoreItem xmlns:ds="http://schemas.openxmlformats.org/officeDocument/2006/customXml" ds:itemID="{34B19913-C7E1-458F-8BA4-F19B9AA31B21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Open Assgn</vt:lpstr>
    </vt:vector>
  </TitlesOfParts>
  <Company>Trafigura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Akshat Agrawal (FX)</dc:creator>
  <cp:keywords>Not retained unless further marking selected. </cp:keywords>
  <cp:lastModifiedBy>Akshat Agrawal (FX)</cp:lastModifiedBy>
  <dcterms:created xsi:type="dcterms:W3CDTF">2024-07-09T14:16:55Z</dcterms:created>
  <dcterms:modified xsi:type="dcterms:W3CDTF">2025-09-25T15:34:00Z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a24a3747-3131-4ce7-bb84-697209df02e4</vt:lpwstr>
  </property>
  <property fmtid="{D5CDD505-2E9C-101B-9397-08002B2CF9AE}" pid="3" name="bjDocumentLabelXML">
    <vt:lpwstr>&lt;?xml version="1.0" encoding="us-ascii"?&gt;&lt;sisl xmlns:xsd="http://www.w3.org/2001/XMLSchema" xmlns:xsi="http://www.w3.org/2001/XMLSchema-instance" sislVersion="0" policy="d496ab6f-82d7-47fa-ba56-55fc2c510ab4" origin="defaultValue" xmlns="http://www.boldonj</vt:lpwstr>
  </property>
  <property fmtid="{D5CDD505-2E9C-101B-9397-08002B2CF9AE}" pid="4" name="bjDocumentLabelXML-0">
    <vt:lpwstr>ames.com/2008/01/sie/internal/label"&gt;&lt;element uid="8f417aed-8f16-42c8-8249-136a73112f72" value="" /&gt;&lt;/sisl&gt;</vt:lpwstr>
  </property>
  <property fmtid="{D5CDD505-2E9C-101B-9397-08002B2CF9AE}" pid="5" name="bjDocumentSecurityLabel">
    <vt:lpwstr>Not retained unless further marking selected. _x000d_
_x000d_
</vt:lpwstr>
  </property>
  <property fmtid="{D5CDD505-2E9C-101B-9397-08002B2CF9AE}" pid="6" name="bjSaver">
    <vt:lpwstr>7VvJsrEIzhaIiqS3Tuj5n3/Kft3X2Xae</vt:lpwstr>
  </property>
  <property fmtid="{D5CDD505-2E9C-101B-9397-08002B2CF9AE}" pid="7" name="bjClsUserRVM">
    <vt:lpwstr>[]</vt:lpwstr>
  </property>
</Properties>
</file>